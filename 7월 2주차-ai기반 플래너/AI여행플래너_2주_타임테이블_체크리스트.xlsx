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체크리스트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lgun Gothic"/>
      <charset val="1"/>
      <family val="0"/>
      <b val="1"/>
      <color rgb="FFFFFFFF"/>
      <sz val="14"/>
    </font>
    <font>
      <name val="Noto Sans CJK SC"/>
      <family val="2"/>
      <b val="1"/>
      <color rgb="FFFFFFFF"/>
      <sz val="14"/>
    </font>
    <font>
      <name val="Noto Sans CJK SC"/>
      <family val="2"/>
      <color rgb="FFFFFFFF"/>
      <sz val="10"/>
    </font>
    <font>
      <name val="Malgun Gothic"/>
      <charset val="1"/>
      <family val="0"/>
      <color rgb="FFFFFFFF"/>
      <sz val="10"/>
    </font>
    <font>
      <name val="Noto Sans CJK SC"/>
      <family val="2"/>
      <b val="1"/>
      <sz val="10"/>
    </font>
    <font>
      <name val="Malgun Gothic"/>
      <charset val="1"/>
      <family val="0"/>
      <sz val="10"/>
    </font>
    <font>
      <name val="Noto Sans CJK SC"/>
      <family val="2"/>
      <sz val="10"/>
    </font>
    <font>
      <name val="Malgun Gothic"/>
      <charset val="1"/>
      <family val="0"/>
      <b val="1"/>
      <sz val="10"/>
    </font>
    <font>
      <name val="Malgun Gothic"/>
      <charset val="1"/>
      <family val="0"/>
      <b val="1"/>
      <color rgb="FF1F2937"/>
      <sz val="10"/>
    </font>
    <font>
      <name val="Noto Sans CJK SC"/>
      <family val="2"/>
      <b val="1"/>
      <color rgb="FF1F2937"/>
      <sz val="10"/>
    </font>
    <font>
      <name val="Malgun Gothic"/>
      <charset val="1"/>
      <family val="0"/>
      <color rgb="FFCC0000"/>
      <sz val="10"/>
    </font>
    <font>
      <name val="Malgun Gothic"/>
      <charset val="1"/>
      <family val="0"/>
      <b val="1"/>
      <color rgb="FF1155CC"/>
      <sz val="10"/>
    </font>
  </fonts>
  <fills count="5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B5B92"/>
        <bgColor rgb="FF1155CC"/>
      </patternFill>
    </fill>
    <fill>
      <patternFill patternType="solid">
        <fgColor rgb="FFE8EDF5"/>
        <bgColor rgb="FFF2F2F2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general" vertical="top" wrapText="1"/>
    </xf>
    <xf numFmtId="0" fontId="0" fillId="0" borderId="4" pivotButton="0" quotePrefix="0" xfId="0"/>
    <xf numFmtId="0" fontId="10" fillId="0" borderId="2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b val="1"/>
        <color rgb="FF1155CC"/>
      </font>
    </dxf>
    <dxf>
      <font>
        <b val="1"/>
        <color rgb="FF0B8A3E"/>
      </font>
    </dxf>
    <dxf>
      <font>
        <color rgb="FF888888"/>
      </font>
    </dxf>
    <dxf>
      <fill>
        <patternFill>
          <bgColor rgb="FFF2F2F2"/>
        </patternFill>
      </fill>
    </dxf>
    <dxf>
      <fill>
        <patternFill>
          <bgColor rgb="FFEAF6E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B8A3E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EAF6EC"/>
      <rgbColor rgb="FFE8EDF5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5B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28" customWidth="1" style="21" min="2" max="4"/>
  </cols>
  <sheetData>
    <row r="1" ht="25.5" customHeight="1" s="22">
      <c r="A1" s="23" t="inlineStr">
        <is>
          <t>AI 지역관광 맞춤 여행플래너(전통시장 특화) — 2주 프로젝트 개요</t>
        </is>
      </c>
    </row>
    <row r="2" ht="19.5" customHeight="1" s="22">
      <c r="A2" s="24" t="inlineStr">
        <is>
          <t>팀 4인(PM·UX·백엔드·프론트) 기준 타임테이블. 독거노인_AI안부_2주_타임테이블 양식을 참고해 재구성</t>
        </is>
      </c>
    </row>
    <row r="4" ht="33.75" customHeight="1" s="22">
      <c r="A4" s="25" t="inlineStr">
        <is>
          <t>프로젝트명</t>
        </is>
      </c>
      <c r="B4" s="26" t="inlineStr">
        <is>
          <t>AI 기반 지역 관광 맞춤 여행 플래너 (전통시장·5일장 차별화)</t>
        </is>
      </c>
      <c r="C4" s="27" t="n"/>
      <c r="D4" s="27" t="n"/>
    </row>
    <row r="5" ht="33.75" customHeight="1" s="22">
      <c r="A5" s="25" t="inlineStr">
        <is>
          <t>기간</t>
        </is>
      </c>
      <c r="B5" s="26" t="inlineStr">
        <is>
          <t>2026-07-06 ~ 2026-07-17 (2주, 주말 제외 10 영업일)</t>
        </is>
      </c>
      <c r="C5" s="27" t="n"/>
      <c r="D5" s="27" t="n"/>
    </row>
    <row r="6" ht="33.75" customHeight="1" s="22">
      <c r="A6" s="25" t="inlineStr">
        <is>
          <t>오늘 기준</t>
        </is>
      </c>
      <c r="B6" s="26" t="inlineStr">
        <is>
          <t>7/9 (Day4) — 내일(7/10)부터 실제 개발 착수, 잔여 개발일 6일(7/10, 7/13~7/17)</t>
        </is>
      </c>
      <c r="C6" s="27" t="n"/>
      <c r="D6" s="27" t="n"/>
    </row>
    <row r="7" ht="33.75" customHeight="1" s="22">
      <c r="A7" s="25" t="inlineStr">
        <is>
          <t>팀 구성</t>
        </is>
      </c>
      <c r="B7" s="26" t="inlineStr">
        <is>
          <t>PM 1, UX 1, 백엔드(AI 포함) 1, 프론트엔드 1 — 총 4인</t>
        </is>
      </c>
      <c r="C7" s="27" t="n"/>
      <c r="D7" s="27" t="n"/>
    </row>
    <row r="8" ht="33.75" customHeight="1" s="22">
      <c r="A8" s="25" t="inlineStr">
        <is>
          <t>우선순위 방식</t>
        </is>
      </c>
      <c r="B8" s="26" t="inlineStr">
        <is>
          <t>MoSCoW (Must 16 / Should 7 / Could 7 / 총 30개 항목, 8.우선순위MoSCoW 시트 기준)</t>
        </is>
      </c>
      <c r="C8" s="27" t="n"/>
      <c r="D8" s="27" t="n"/>
    </row>
    <row r="9" ht="33.75" customHeight="1" s="22">
      <c r="A9" s="25" t="inlineStr">
        <is>
          <t>핵심 기능(Must)</t>
        </is>
      </c>
      <c r="B9" s="28" t="inlineStr">
        <is>
          <t>로그인/회원가입, 자연어 조건입력·추출, RAG 후보검색, 결과화면, 일정수정, 리뷰요약·작성·조회, 상인대시보드, 관리자 화면/대시보드, 전통시장 정보관리, 즐겨찾기, 예약(결제 제외)</t>
        </is>
      </c>
      <c r="C9" s="27" t="n"/>
      <c r="D9" s="27" t="n"/>
    </row>
    <row r="10" ht="33.75" customHeight="1" s="22">
      <c r="A10" s="25" t="inlineStr">
        <is>
          <t>추후 고도화(Should~Could)</t>
        </is>
      </c>
      <c r="B10" s="26" t="inlineStr">
        <is>
          <t>QR 방문인증·개선사항 관리, 상인 할인·이벤트·쿠폰, QR 미니 홈페이지, 5일장 정보/장날 연동, 시장 내부지도·동선추천, 5일장 구역체크인, 관리자 공지사항/문의관리</t>
        </is>
      </c>
      <c r="C10" s="27" t="n"/>
      <c r="D10" s="27" t="n"/>
    </row>
    <row r="11" ht="33.75" customHeight="1" s="22">
      <c r="A11" s="29" t="inlineStr">
        <is>
          <t>Phase 2~3(로드맵)</t>
        </is>
      </c>
      <c r="B11" s="28" t="inlineStr">
        <is>
          <t>예약 선결제, 시장 혼잡도 안내, AI 스탬프 투어·리워드 관리</t>
        </is>
      </c>
      <c r="C11" s="27" t="n"/>
      <c r="D11" s="27" t="n"/>
    </row>
    <row r="12" ht="33.75" customHeight="1" s="22">
      <c r="A12" s="25" t="inlineStr">
        <is>
          <t>산출물</t>
        </is>
      </c>
      <c r="B12" s="26" t="inlineStr">
        <is>
          <t>PRD(16개 시트), Streamlit/Gradio MVP, 발표자료, 데모 리허설</t>
        </is>
      </c>
      <c r="C12" s="27" t="n"/>
      <c r="D12" s="27" t="n"/>
    </row>
    <row r="13" ht="33.75" customHeight="1" s="22">
      <c r="A13" s="25" t="inlineStr">
        <is>
          <t>발표일</t>
        </is>
      </c>
      <c r="B13" s="26" t="inlineStr">
        <is>
          <t>2026-07-17 (Day10) 오전 최종 리허설 → 발표</t>
        </is>
      </c>
      <c r="C13" s="27" t="n"/>
      <c r="D13" s="27" t="n"/>
    </row>
  </sheetData>
  <mergeCells count="12">
    <mergeCell ref="B10:D10"/>
    <mergeCell ref="A1:D1"/>
    <mergeCell ref="B11:D11"/>
    <mergeCell ref="B5:D5"/>
    <mergeCell ref="B8:D8"/>
    <mergeCell ref="B4:D4"/>
    <mergeCell ref="B9:D9"/>
    <mergeCell ref="B13:D13"/>
    <mergeCell ref="A2:D2"/>
    <mergeCell ref="B12:D12"/>
    <mergeCell ref="B7:D7"/>
    <mergeCell ref="B6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1" min="1" max="1"/>
    <col width="8" customWidth="1" style="21" min="2" max="2"/>
    <col width="12" customWidth="1" style="21" min="3" max="3"/>
    <col width="46" customWidth="1" style="21" min="4" max="4"/>
    <col width="14" customWidth="1" style="21" min="5" max="5"/>
    <col width="8" customWidth="1" style="21" min="6" max="6"/>
    <col width="30" customWidth="1" style="21" min="7" max="7"/>
  </cols>
  <sheetData>
    <row r="1" ht="25.5" customHeight="1" s="22">
      <c r="A1" s="30" t="inlineStr">
        <is>
          <t>태스크 체크리스트 (선행조건·진행 상태) — AI 지역관광 여행플래너 (전통시장 특화) 2주 프로젝트</t>
        </is>
      </c>
    </row>
    <row r="2" ht="27.75" customHeight="1" s="22">
      <c r="A2" s="31" t="inlineStr">
        <is>
          <t>'선행'=이 태스크 시작 전에 끝나 있어야 하는 태스크 ID. 상태 칸에 '완료' 입력 시 하단 진행률 자동 계산 / 팀원 4인(PM·UX·백엔드·프론트), 오늘은 7/9(Day4), 내일부터 개발 시작해 잔여 개발일 6일(7/10,13~17)</t>
        </is>
      </c>
    </row>
    <row r="4" ht="19.5" customHeight="1" s="22">
      <c r="A4" s="32" t="inlineStr">
        <is>
          <t>ID</t>
        </is>
      </c>
      <c r="B4" s="33" t="inlineStr">
        <is>
          <t>일자</t>
        </is>
      </c>
      <c r="C4" s="33" t="inlineStr">
        <is>
          <t>담당</t>
        </is>
      </c>
      <c r="D4" s="33" t="inlineStr">
        <is>
          <t>태스크</t>
        </is>
      </c>
      <c r="E4" s="33" t="inlineStr">
        <is>
          <t>선행조건</t>
        </is>
      </c>
      <c r="F4" s="33" t="inlineStr">
        <is>
          <t>상태</t>
        </is>
      </c>
      <c r="G4" s="33" t="inlineStr">
        <is>
          <t>비고</t>
        </is>
      </c>
    </row>
    <row r="5" ht="15" customHeight="1" s="22">
      <c r="A5" s="34" t="inlineStr">
        <is>
          <t>T1</t>
        </is>
      </c>
      <c r="B5" s="34" t="inlineStr">
        <is>
          <t>7/6</t>
        </is>
      </c>
      <c r="C5" s="35" t="inlineStr">
        <is>
          <t>전원</t>
        </is>
      </c>
      <c r="D5" s="36" t="inlineStr">
        <is>
          <t>킥오프 — 목표·범위·공통데이터 합의</t>
        </is>
      </c>
      <c r="E5" s="37" t="inlineStr">
        <is>
          <t>-</t>
        </is>
      </c>
      <c r="F5" s="35" t="inlineStr">
        <is>
          <t>완료</t>
        </is>
      </c>
      <c r="G5" s="36" t="n"/>
    </row>
    <row r="6" ht="15" customHeight="1" s="22">
      <c r="A6" s="34" t="inlineStr">
        <is>
          <t>T2</t>
        </is>
      </c>
      <c r="B6" s="34" t="inlineStr">
        <is>
          <t>7/6</t>
        </is>
      </c>
      <c r="C6" s="34" t="inlineStr">
        <is>
          <t>PM</t>
        </is>
      </c>
      <c r="D6" s="36" t="inlineStr">
        <is>
          <t>공공데이터·지도 API 신청/승인 요청</t>
        </is>
      </c>
      <c r="E6" s="37" t="inlineStr">
        <is>
          <t>T1</t>
        </is>
      </c>
      <c r="F6" s="35" t="inlineStr">
        <is>
          <t>완료</t>
        </is>
      </c>
      <c r="G6" s="36" t="n"/>
    </row>
    <row r="7" ht="15" customHeight="1" s="22">
      <c r="A7" s="34" t="inlineStr">
        <is>
          <t>T3</t>
        </is>
      </c>
      <c r="B7" s="34" t="inlineStr">
        <is>
          <t>7/6</t>
        </is>
      </c>
      <c r="C7" s="34" t="inlineStr">
        <is>
          <t>UX</t>
        </is>
      </c>
      <c r="D7" s="36" t="inlineStr">
        <is>
          <t>페르소나 3종 초안(가족/친구/커플)</t>
        </is>
      </c>
      <c r="E7" s="37" t="inlineStr">
        <is>
          <t>T1</t>
        </is>
      </c>
      <c r="F7" s="35" t="inlineStr">
        <is>
          <t>완료</t>
        </is>
      </c>
      <c r="G7" s="36" t="n"/>
    </row>
    <row r="8" ht="15" customHeight="1" s="22">
      <c r="A8" s="34" t="inlineStr">
        <is>
          <t>T4</t>
        </is>
      </c>
      <c r="B8" s="34" t="inlineStr">
        <is>
          <t>7/6</t>
        </is>
      </c>
      <c r="C8" s="35" t="inlineStr">
        <is>
          <t>백엔드</t>
        </is>
      </c>
      <c r="D8" s="38" t="inlineStr">
        <is>
          <t>LLM API·개발환경(Colab/Streamlit) 세팅</t>
        </is>
      </c>
      <c r="E8" s="37" t="inlineStr">
        <is>
          <t>T1</t>
        </is>
      </c>
      <c r="F8" s="35" t="inlineStr">
        <is>
          <t>완료</t>
        </is>
      </c>
      <c r="G8" s="38" t="n"/>
    </row>
    <row r="9" ht="15" customHeight="1" s="22">
      <c r="A9" s="34" t="inlineStr">
        <is>
          <t>T5</t>
        </is>
      </c>
      <c r="B9" s="34" t="inlineStr">
        <is>
          <t>7/6</t>
        </is>
      </c>
      <c r="C9" s="35" t="inlineStr">
        <is>
          <t>백엔드</t>
        </is>
      </c>
      <c r="D9" s="36" t="inlineStr">
        <is>
          <t>관광 공공데이터 CSV 다운로드 착수</t>
        </is>
      </c>
      <c r="E9" s="37" t="inlineStr">
        <is>
          <t>T2</t>
        </is>
      </c>
      <c r="F9" s="35" t="inlineStr">
        <is>
          <t>완료</t>
        </is>
      </c>
      <c r="G9" s="38" t="n"/>
    </row>
    <row r="10" ht="15" customHeight="1" s="22">
      <c r="A10" s="34" t="inlineStr">
        <is>
          <t>T6</t>
        </is>
      </c>
      <c r="B10" s="34" t="inlineStr">
        <is>
          <t>7/6</t>
        </is>
      </c>
      <c r="C10" s="35" t="inlineStr">
        <is>
          <t>프론트</t>
        </is>
      </c>
      <c r="D10" s="38" t="inlineStr">
        <is>
          <t>Gradio/Streamlit 세팅·UI 레퍼런스 조사</t>
        </is>
      </c>
      <c r="E10" s="37" t="inlineStr">
        <is>
          <t>T1</t>
        </is>
      </c>
      <c r="F10" s="35" t="inlineStr">
        <is>
          <t>완료</t>
        </is>
      </c>
      <c r="G10" s="38" t="n"/>
    </row>
    <row r="11" ht="15" customHeight="1" s="22">
      <c r="A11" s="34" t="inlineStr">
        <is>
          <t>T7</t>
        </is>
      </c>
      <c r="B11" s="34" t="inlineStr">
        <is>
          <t>7/7</t>
        </is>
      </c>
      <c r="C11" s="34" t="inlineStr">
        <is>
          <t>PM</t>
        </is>
      </c>
      <c r="D11" s="36" t="inlineStr">
        <is>
          <t>문제정의서·핵심 시나리오 정의</t>
        </is>
      </c>
      <c r="E11" s="37" t="inlineStr">
        <is>
          <t>T1</t>
        </is>
      </c>
      <c r="F11" s="35" t="inlineStr">
        <is>
          <t>완료</t>
        </is>
      </c>
      <c r="G11" s="38" t="n"/>
    </row>
    <row r="12" ht="15" customHeight="1" s="22">
      <c r="A12" s="34" t="inlineStr">
        <is>
          <t>T8</t>
        </is>
      </c>
      <c r="B12" s="34" t="inlineStr">
        <is>
          <t>7/7</t>
        </is>
      </c>
      <c r="C12" s="34" t="inlineStr">
        <is>
          <t>UX</t>
        </is>
      </c>
      <c r="D12" s="36" t="inlineStr">
        <is>
          <t>저니맵(가족/친구/커플) 작성</t>
        </is>
      </c>
      <c r="E12" s="37" t="inlineStr">
        <is>
          <t>T3,T7</t>
        </is>
      </c>
      <c r="F12" s="35" t="inlineStr">
        <is>
          <t>완료</t>
        </is>
      </c>
      <c r="G12" s="38" t="n"/>
    </row>
    <row r="13" ht="15" customHeight="1" s="22">
      <c r="A13" s="34" t="inlineStr">
        <is>
          <t>T9</t>
        </is>
      </c>
      <c r="B13" s="34" t="inlineStr">
        <is>
          <t>7/7</t>
        </is>
      </c>
      <c r="C13" s="34" t="inlineStr">
        <is>
          <t>UX</t>
        </is>
      </c>
      <c r="D13" s="36" t="inlineStr">
        <is>
          <t>대화 스크립트(챗봇 시나리오) 초안</t>
        </is>
      </c>
      <c r="E13" s="37" t="inlineStr">
        <is>
          <t>T8</t>
        </is>
      </c>
      <c r="F13" s="35" t="inlineStr">
        <is>
          <t>완료</t>
        </is>
      </c>
      <c r="G13" s="38" t="n"/>
    </row>
    <row r="14" ht="15" customHeight="1" s="22">
      <c r="A14" s="34" t="inlineStr">
        <is>
          <t>T10</t>
        </is>
      </c>
      <c r="B14" s="34" t="inlineStr">
        <is>
          <t>7/7</t>
        </is>
      </c>
      <c r="C14" s="35" t="inlineStr">
        <is>
          <t>백엔드</t>
        </is>
      </c>
      <c r="D14" s="36" t="inlineStr">
        <is>
          <t>조건 슬롯 추출 프롬프트 v0</t>
        </is>
      </c>
      <c r="E14" s="37" t="inlineStr">
        <is>
          <t>T5</t>
        </is>
      </c>
      <c r="F14" s="35" t="inlineStr">
        <is>
          <t>완료</t>
        </is>
      </c>
      <c r="G14" s="38" t="n"/>
    </row>
    <row r="15" ht="15" customHeight="1" s="22">
      <c r="A15" s="34" t="inlineStr">
        <is>
          <t>T11</t>
        </is>
      </c>
      <c r="B15" s="34" t="inlineStr">
        <is>
          <t>7/7</t>
        </is>
      </c>
      <c r="C15" s="35" t="inlineStr">
        <is>
          <t>백엔드</t>
        </is>
      </c>
      <c r="D15" s="38" t="inlineStr">
        <is>
          <t>RAG 벡터 인덱스(FAISS) 초안 구축</t>
        </is>
      </c>
      <c r="E15" s="37" t="inlineStr">
        <is>
          <t>T10</t>
        </is>
      </c>
      <c r="F15" s="35" t="inlineStr">
        <is>
          <t>완료</t>
        </is>
      </c>
      <c r="G15" s="38" t="n"/>
    </row>
    <row r="16" ht="15" customHeight="1" s="22">
      <c r="A16" s="34" t="inlineStr">
        <is>
          <t>T12</t>
        </is>
      </c>
      <c r="B16" s="34" t="inlineStr">
        <is>
          <t>7/7</t>
        </is>
      </c>
      <c r="C16" s="35" t="inlineStr">
        <is>
          <t>프론트</t>
        </is>
      </c>
      <c r="D16" s="36" t="inlineStr">
        <is>
          <t>화면구조(IA) 설계 — 4대 메인화면 6/4/4/8탭</t>
        </is>
      </c>
      <c r="E16" s="37" t="inlineStr">
        <is>
          <t>T6</t>
        </is>
      </c>
      <c r="F16" s="35" t="inlineStr">
        <is>
          <t>완료</t>
        </is>
      </c>
      <c r="G16" s="38" t="n"/>
    </row>
    <row r="17" ht="15" customHeight="1" s="22">
      <c r="A17" s="34" t="inlineStr">
        <is>
          <t>T13</t>
        </is>
      </c>
      <c r="B17" s="34" t="inlineStr">
        <is>
          <t>7/8</t>
        </is>
      </c>
      <c r="C17" s="35" t="inlineStr">
        <is>
          <t>프론트</t>
        </is>
      </c>
      <c r="D17" s="36" t="inlineStr">
        <is>
          <t>메인 화면(6탭) 목업 제작</t>
        </is>
      </c>
      <c r="E17" s="37" t="inlineStr">
        <is>
          <t>T12</t>
        </is>
      </c>
      <c r="F17" s="35" t="inlineStr">
        <is>
          <t>완료</t>
        </is>
      </c>
      <c r="G17" s="38" t="n"/>
    </row>
    <row r="18" ht="15" customHeight="1" s="22">
      <c r="A18" s="34" t="inlineStr">
        <is>
          <t>T14</t>
        </is>
      </c>
      <c r="B18" s="34" t="inlineStr">
        <is>
          <t>7/8</t>
        </is>
      </c>
      <c r="C18" s="34" t="inlineStr">
        <is>
          <t>PM</t>
        </is>
      </c>
      <c r="D18" s="38" t="inlineStr">
        <is>
          <t>PRD 작성(기능요구사항 v1.0~v1.4) 및 확정</t>
        </is>
      </c>
      <c r="E18" s="37" t="inlineStr">
        <is>
          <t>T7</t>
        </is>
      </c>
      <c r="F18" s="35" t="inlineStr">
        <is>
          <t>완료</t>
        </is>
      </c>
      <c r="G18" s="38" t="n"/>
    </row>
    <row r="19" ht="15" customHeight="1" s="22">
      <c r="A19" s="34" t="inlineStr">
        <is>
          <t>T15</t>
        </is>
      </c>
      <c r="B19" s="34" t="inlineStr">
        <is>
          <t>7/8</t>
        </is>
      </c>
      <c r="C19" s="34" t="inlineStr">
        <is>
          <t>UX</t>
        </is>
      </c>
      <c r="D19" s="36" t="inlineStr">
        <is>
          <t>톤앤매너·와이어프레임(로그인~관리자)</t>
        </is>
      </c>
      <c r="E19" s="37" t="inlineStr">
        <is>
          <t>T9</t>
        </is>
      </c>
      <c r="F19" s="35" t="inlineStr">
        <is>
          <t>완료</t>
        </is>
      </c>
      <c r="G19" s="38" t="n"/>
    </row>
    <row r="20" ht="15" customHeight="1" s="22">
      <c r="A20" s="34" t="inlineStr">
        <is>
          <t>T16</t>
        </is>
      </c>
      <c r="B20" s="34" t="inlineStr">
        <is>
          <t>7/8</t>
        </is>
      </c>
      <c r="C20" s="35" t="inlineStr">
        <is>
          <t>백엔드</t>
        </is>
      </c>
      <c r="D20" s="36" t="inlineStr">
        <is>
          <t>로그인/회원가입 API 구현(FR-001~011)</t>
        </is>
      </c>
      <c r="E20" s="37" t="inlineStr">
        <is>
          <t>T14</t>
        </is>
      </c>
      <c r="F20" s="35" t="inlineStr">
        <is>
          <t>완료</t>
        </is>
      </c>
      <c r="G20" s="38" t="n"/>
    </row>
    <row r="21" ht="15" customHeight="1" s="22">
      <c r="A21" s="34" t="inlineStr">
        <is>
          <t>T17</t>
        </is>
      </c>
      <c r="B21" s="34" t="inlineStr">
        <is>
          <t>7/9</t>
        </is>
      </c>
      <c r="C21" s="35" t="inlineStr">
        <is>
          <t>프론트</t>
        </is>
      </c>
      <c r="D21" s="36" t="inlineStr">
        <is>
          <t>로그인/회원가입 화면 구현</t>
        </is>
      </c>
      <c r="E21" s="37" t="inlineStr">
        <is>
          <t>T15,T16</t>
        </is>
      </c>
      <c r="F21" s="35" t="inlineStr">
        <is>
          <t>진행</t>
        </is>
      </c>
      <c r="G21" s="38" t="n"/>
    </row>
    <row r="22" ht="29.85" customHeight="1" s="22">
      <c r="A22" s="34" t="inlineStr">
        <is>
          <t>T18</t>
        </is>
      </c>
      <c r="B22" s="34" t="inlineStr">
        <is>
          <t>7/9</t>
        </is>
      </c>
      <c r="C22" s="34" t="inlineStr">
        <is>
          <t>PM</t>
        </is>
      </c>
      <c r="D22" s="36" t="inlineStr">
        <is>
          <t>전통시장·5일장 차별화 요구사항 확정(FR-057~078), MoSCoW 재정렬</t>
        </is>
      </c>
      <c r="E22" s="37" t="inlineStr">
        <is>
          <t>T14</t>
        </is>
      </c>
      <c r="F22" s="35" t="inlineStr">
        <is>
          <t>진행</t>
        </is>
      </c>
      <c r="G22" s="38" t="inlineStr">
        <is>
          <t>Must 16 / Should 7 / Could 7로 확정</t>
        </is>
      </c>
    </row>
    <row r="23" ht="26.85" customHeight="1" s="22">
      <c r="A23" s="34" t="inlineStr">
        <is>
          <t>T19</t>
        </is>
      </c>
      <c r="B23" s="34" t="inlineStr">
        <is>
          <t>7/9</t>
        </is>
      </c>
      <c r="C23" s="34" t="inlineStr">
        <is>
          <t>UX</t>
        </is>
      </c>
      <c r="D23" s="36" t="inlineStr">
        <is>
          <t>전통시장 방문 니즈 페르소나 반영, 신규 화면 정의(SC-16~26)</t>
        </is>
      </c>
      <c r="E23" s="37" t="inlineStr">
        <is>
          <t>T18</t>
        </is>
      </c>
      <c r="F23" s="35" t="inlineStr">
        <is>
          <t>진행</t>
        </is>
      </c>
      <c r="G23" s="38" t="n"/>
    </row>
    <row r="24" ht="15" customHeight="1" s="22">
      <c r="A24" s="34" t="inlineStr">
        <is>
          <t>T20</t>
        </is>
      </c>
      <c r="B24" s="34" t="inlineStr">
        <is>
          <t>7/9</t>
        </is>
      </c>
      <c r="C24" s="35" t="inlineStr">
        <is>
          <t>백엔드</t>
        </is>
      </c>
      <c r="D24" s="38" t="inlineStr">
        <is>
          <t>RAG 후보검색·코스생성 로직 고도화</t>
        </is>
      </c>
      <c r="E24" s="37" t="inlineStr">
        <is>
          <t>T11</t>
        </is>
      </c>
      <c r="F24" s="35" t="inlineStr">
        <is>
          <t>진행</t>
        </is>
      </c>
      <c r="G24" s="38" t="n"/>
    </row>
    <row r="25" ht="15" customHeight="1" s="22">
      <c r="A25" s="34" t="inlineStr">
        <is>
          <t>T21</t>
        </is>
      </c>
      <c r="B25" s="34" t="inlineStr">
        <is>
          <t>7/10</t>
        </is>
      </c>
      <c r="C25" s="35" t="inlineStr">
        <is>
          <t>백엔드</t>
        </is>
      </c>
      <c r="D25" s="36" t="inlineStr">
        <is>
          <t>자연어 조건입력/추출 API 완성</t>
        </is>
      </c>
      <c r="E25" s="37" t="inlineStr">
        <is>
          <t>T16,T20</t>
        </is>
      </c>
      <c r="F25" s="35" t="inlineStr">
        <is>
          <t>대기</t>
        </is>
      </c>
      <c r="G25" s="36" t="inlineStr">
        <is>
          <t>개발 첫날</t>
        </is>
      </c>
    </row>
    <row r="26" ht="15" customHeight="1" s="22">
      <c r="A26" s="34" t="inlineStr">
        <is>
          <t>T22</t>
        </is>
      </c>
      <c r="B26" s="34" t="inlineStr">
        <is>
          <t>7/10</t>
        </is>
      </c>
      <c r="C26" s="35" t="inlineStr">
        <is>
          <t>백엔드</t>
        </is>
      </c>
      <c r="D26" s="36" t="inlineStr">
        <is>
          <t>대화 세션 저장/이어서 하기 구현</t>
        </is>
      </c>
      <c r="E26" s="37" t="inlineStr">
        <is>
          <t>T21</t>
        </is>
      </c>
      <c r="F26" s="35" t="inlineStr">
        <is>
          <t>대기</t>
        </is>
      </c>
      <c r="G26" s="38" t="n"/>
    </row>
    <row r="27" ht="15" customHeight="1" s="22">
      <c r="A27" s="34" t="inlineStr">
        <is>
          <t>T23</t>
        </is>
      </c>
      <c r="B27" s="34" t="inlineStr">
        <is>
          <t>7/10</t>
        </is>
      </c>
      <c r="C27" s="35" t="inlineStr">
        <is>
          <t>프론트</t>
        </is>
      </c>
      <c r="D27" s="36" t="inlineStr">
        <is>
          <t>대화 UI + 대화기록 사이드바 구현</t>
        </is>
      </c>
      <c r="E27" s="37" t="inlineStr">
        <is>
          <t>T21,T22</t>
        </is>
      </c>
      <c r="F27" s="35" t="inlineStr">
        <is>
          <t>대기</t>
        </is>
      </c>
      <c r="G27" s="38" t="n"/>
    </row>
    <row r="28" ht="15" customHeight="1" s="22">
      <c r="A28" s="34" t="inlineStr">
        <is>
          <t>T24</t>
        </is>
      </c>
      <c r="B28" s="34" t="inlineStr">
        <is>
          <t>7/10</t>
        </is>
      </c>
      <c r="C28" s="35" t="inlineStr">
        <is>
          <t>백엔드</t>
        </is>
      </c>
      <c r="D28" s="36" t="inlineStr">
        <is>
          <t>즐겨찾기(찜하기) API 구현(FR-059)</t>
        </is>
      </c>
      <c r="E28" s="37" t="inlineStr">
        <is>
          <t>T16</t>
        </is>
      </c>
      <c r="F28" s="35" t="inlineStr">
        <is>
          <t>대기</t>
        </is>
      </c>
      <c r="G28" s="38" t="n"/>
    </row>
    <row r="29" ht="15" customHeight="1" s="22">
      <c r="A29" s="34" t="inlineStr">
        <is>
          <t>T25</t>
        </is>
      </c>
      <c r="B29" s="34" t="inlineStr">
        <is>
          <t>7/13</t>
        </is>
      </c>
      <c r="C29" s="35" t="inlineStr">
        <is>
          <t>프론트</t>
        </is>
      </c>
      <c r="D29" s="38" t="inlineStr">
        <is>
          <t>RAG 후보검색 결과화면·장소카드 구현</t>
        </is>
      </c>
      <c r="E29" s="37" t="inlineStr">
        <is>
          <t>T20,T21</t>
        </is>
      </c>
      <c r="F29" s="35" t="inlineStr">
        <is>
          <t>대기</t>
        </is>
      </c>
      <c r="G29" s="38" t="n"/>
    </row>
    <row r="30" ht="15" customHeight="1" s="22">
      <c r="A30" s="34" t="inlineStr">
        <is>
          <t>T26</t>
        </is>
      </c>
      <c r="B30" s="34" t="inlineStr">
        <is>
          <t>7/13</t>
        </is>
      </c>
      <c r="C30" s="35" t="inlineStr">
        <is>
          <t>백엔드</t>
        </is>
      </c>
      <c r="D30" s="36" t="inlineStr">
        <is>
          <t>일정 수정(추가·삭제·교체) API(FR-029~034)</t>
        </is>
      </c>
      <c r="E30" s="37" t="inlineStr">
        <is>
          <t>T20</t>
        </is>
      </c>
      <c r="F30" s="35" t="inlineStr">
        <is>
          <t>대기</t>
        </is>
      </c>
      <c r="G30" s="38" t="n"/>
    </row>
    <row r="31" ht="15" customHeight="1" s="22">
      <c r="A31" s="34" t="inlineStr">
        <is>
          <t>T27</t>
        </is>
      </c>
      <c r="B31" s="34" t="inlineStr">
        <is>
          <t>7/13</t>
        </is>
      </c>
      <c r="C31" s="35" t="inlineStr">
        <is>
          <t>프론트</t>
        </is>
      </c>
      <c r="D31" s="36" t="inlineStr">
        <is>
          <t>일정 수정 UI 구현</t>
        </is>
      </c>
      <c r="E31" s="37" t="inlineStr">
        <is>
          <t>T26</t>
        </is>
      </c>
      <c r="F31" s="35" t="inlineStr">
        <is>
          <t>대기</t>
        </is>
      </c>
      <c r="G31" s="38" t="n"/>
    </row>
    <row r="32" ht="15" customHeight="1" s="22">
      <c r="A32" s="34" t="inlineStr">
        <is>
          <t>T28</t>
        </is>
      </c>
      <c r="B32" s="34" t="inlineStr">
        <is>
          <t>7/13</t>
        </is>
      </c>
      <c r="C32" s="35" t="inlineStr">
        <is>
          <t>백엔드</t>
        </is>
      </c>
      <c r="D32" s="36" t="inlineStr">
        <is>
          <t>리뷰 요약 로직(FR-035)</t>
        </is>
      </c>
      <c r="E32" s="37" t="inlineStr">
        <is>
          <t>T20</t>
        </is>
      </c>
      <c r="F32" s="35" t="inlineStr">
        <is>
          <t>대기</t>
        </is>
      </c>
      <c r="G32" s="38" t="n"/>
    </row>
    <row r="33" ht="15" customHeight="1" s="22">
      <c r="A33" s="34" t="inlineStr">
        <is>
          <t>T29</t>
        </is>
      </c>
      <c r="B33" s="34" t="inlineStr">
        <is>
          <t>7/14</t>
        </is>
      </c>
      <c r="C33" s="35" t="inlineStr">
        <is>
          <t>백엔드</t>
        </is>
      </c>
      <c r="D33" s="36" t="inlineStr">
        <is>
          <t>리뷰 작성/조회 API(FR-038~040)</t>
        </is>
      </c>
      <c r="E33" s="37" t="inlineStr">
        <is>
          <t>T16</t>
        </is>
      </c>
      <c r="F33" s="35" t="inlineStr">
        <is>
          <t>대기</t>
        </is>
      </c>
      <c r="G33" s="38" t="n"/>
    </row>
    <row r="34" ht="15" customHeight="1" s="22">
      <c r="A34" s="34" t="inlineStr">
        <is>
          <t>T30</t>
        </is>
      </c>
      <c r="B34" s="34" t="inlineStr">
        <is>
          <t>7/14</t>
        </is>
      </c>
      <c r="C34" s="35" t="inlineStr">
        <is>
          <t>프론트</t>
        </is>
      </c>
      <c r="D34" s="36" t="inlineStr">
        <is>
          <t>리뷰 화면 구현</t>
        </is>
      </c>
      <c r="E34" s="37" t="inlineStr">
        <is>
          <t>T29</t>
        </is>
      </c>
      <c r="F34" s="35" t="inlineStr">
        <is>
          <t>대기</t>
        </is>
      </c>
      <c r="G34" s="38" t="n"/>
    </row>
    <row r="35" ht="15" customHeight="1" s="22">
      <c r="A35" s="34" t="inlineStr">
        <is>
          <t>T31</t>
        </is>
      </c>
      <c r="B35" s="34" t="inlineStr">
        <is>
          <t>7/14</t>
        </is>
      </c>
      <c r="C35" s="35" t="inlineStr">
        <is>
          <t>백엔드</t>
        </is>
      </c>
      <c r="D35" s="36" t="inlineStr">
        <is>
          <t>상인 대시보드 API(FR-048~049)</t>
        </is>
      </c>
      <c r="E35" s="37" t="inlineStr">
        <is>
          <t>T16</t>
        </is>
      </c>
      <c r="F35" s="35" t="inlineStr">
        <is>
          <t>대기</t>
        </is>
      </c>
      <c r="G35" s="38" t="n"/>
    </row>
    <row r="36" ht="15" customHeight="1" s="22">
      <c r="A36" s="34" t="inlineStr">
        <is>
          <t>T32</t>
        </is>
      </c>
      <c r="B36" s="34" t="inlineStr">
        <is>
          <t>7/14</t>
        </is>
      </c>
      <c r="C36" s="35" t="inlineStr">
        <is>
          <t>프론트</t>
        </is>
      </c>
      <c r="D36" s="36" t="inlineStr">
        <is>
          <t>상인 대시보드 화면 구현</t>
        </is>
      </c>
      <c r="E36" s="37" t="inlineStr">
        <is>
          <t>T31</t>
        </is>
      </c>
      <c r="F36" s="35" t="inlineStr">
        <is>
          <t>대기</t>
        </is>
      </c>
      <c r="G36" s="38" t="n"/>
    </row>
    <row r="37" ht="15" customHeight="1" s="22">
      <c r="A37" s="34" t="inlineStr">
        <is>
          <t>T33</t>
        </is>
      </c>
      <c r="B37" s="34" t="inlineStr">
        <is>
          <t>7/14</t>
        </is>
      </c>
      <c r="C37" s="35" t="inlineStr">
        <is>
          <t>백엔드/프론트</t>
        </is>
      </c>
      <c r="D37" s="36" t="inlineStr">
        <is>
          <t>전통시장 예약주문 접수/확인(FR-063~064, 결제 제외)</t>
        </is>
      </c>
      <c r="E37" s="37" t="inlineStr">
        <is>
          <t>T16,T31</t>
        </is>
      </c>
      <c r="F37" s="35" t="inlineStr">
        <is>
          <t>대기</t>
        </is>
      </c>
      <c r="G37" s="38" t="inlineStr">
        <is>
          <t>Should→Must 승격분, 일정 압박 주의</t>
        </is>
      </c>
    </row>
    <row r="38" ht="15" customHeight="1" s="22">
      <c r="A38" s="34" t="inlineStr">
        <is>
          <t>T34</t>
        </is>
      </c>
      <c r="B38" s="34" t="inlineStr">
        <is>
          <t>7/15</t>
        </is>
      </c>
      <c r="C38" s="35" t="inlineStr">
        <is>
          <t>백엔드</t>
        </is>
      </c>
      <c r="D38" s="36" t="inlineStr">
        <is>
          <t>전통시장 정보관리(관리자) API(FR-060)</t>
        </is>
      </c>
      <c r="E38" s="37" t="inlineStr">
        <is>
          <t>T16</t>
        </is>
      </c>
      <c r="F38" s="35" t="inlineStr">
        <is>
          <t>대기</t>
        </is>
      </c>
      <c r="G38" s="38" t="n"/>
    </row>
    <row r="39" ht="15" customHeight="1" s="22">
      <c r="A39" s="34" t="inlineStr">
        <is>
          <t>T35</t>
        </is>
      </c>
      <c r="B39" s="34" t="inlineStr">
        <is>
          <t>7/15</t>
        </is>
      </c>
      <c r="C39" s="35" t="inlineStr">
        <is>
          <t>프론트</t>
        </is>
      </c>
      <c r="D39" s="36" t="inlineStr">
        <is>
          <t>관리자 화면(8탭) 구현</t>
        </is>
      </c>
      <c r="E39" s="37" t="inlineStr">
        <is>
          <t>T34</t>
        </is>
      </c>
      <c r="F39" s="35" t="inlineStr">
        <is>
          <t>대기</t>
        </is>
      </c>
      <c r="G39" s="38" t="n"/>
    </row>
    <row r="40" ht="15" customHeight="1" s="22">
      <c r="A40" s="34" t="inlineStr">
        <is>
          <t>T36</t>
        </is>
      </c>
      <c r="B40" s="34" t="inlineStr">
        <is>
          <t>7/15</t>
        </is>
      </c>
      <c r="C40" s="35" t="inlineStr">
        <is>
          <t>백엔드</t>
        </is>
      </c>
      <c r="D40" s="38" t="inlineStr">
        <is>
          <t>RBAC 권한 처리(FR-050)</t>
        </is>
      </c>
      <c r="E40" s="37" t="inlineStr">
        <is>
          <t>T34</t>
        </is>
      </c>
      <c r="F40" s="35" t="inlineStr">
        <is>
          <t>대기</t>
        </is>
      </c>
      <c r="G40" s="38" t="n"/>
    </row>
    <row r="41" ht="15" customHeight="1" s="22">
      <c r="A41" s="34" t="inlineStr">
        <is>
          <t>T37</t>
        </is>
      </c>
      <c r="B41" s="34" t="inlineStr">
        <is>
          <t>7/16</t>
        </is>
      </c>
      <c r="C41" s="34" t="inlineStr">
        <is>
          <t>PM</t>
        </is>
      </c>
      <c r="D41" s="36" t="inlineStr">
        <is>
          <t>관리자 대시보드/DB현황 지표 정의</t>
        </is>
      </c>
      <c r="E41" s="37" t="inlineStr">
        <is>
          <t>T34</t>
        </is>
      </c>
      <c r="F41" s="35" t="inlineStr">
        <is>
          <t>대기</t>
        </is>
      </c>
      <c r="G41" s="38" t="n"/>
    </row>
    <row r="42" ht="15" customHeight="1" s="22">
      <c r="A42" s="34" t="inlineStr">
        <is>
          <t>T38</t>
        </is>
      </c>
      <c r="B42" s="34" t="inlineStr">
        <is>
          <t>7/16</t>
        </is>
      </c>
      <c r="C42" s="35" t="inlineStr">
        <is>
          <t>백엔드</t>
        </is>
      </c>
      <c r="D42" s="36" t="inlineStr">
        <is>
          <t>관리자 대시보드 API(FR-054~055)</t>
        </is>
      </c>
      <c r="E42" s="37" t="inlineStr">
        <is>
          <t>T37</t>
        </is>
      </c>
      <c r="F42" s="35" t="inlineStr">
        <is>
          <t>대기</t>
        </is>
      </c>
      <c r="G42" s="38" t="n"/>
    </row>
    <row r="43" ht="15" customHeight="1" s="22">
      <c r="A43" s="34" t="inlineStr">
        <is>
          <t>T39</t>
        </is>
      </c>
      <c r="B43" s="34" t="inlineStr">
        <is>
          <t>7/16</t>
        </is>
      </c>
      <c r="C43" s="35" t="inlineStr">
        <is>
          <t>프론트</t>
        </is>
      </c>
      <c r="D43" s="36" t="inlineStr">
        <is>
          <t>관리자 대시보드 화면 구현</t>
        </is>
      </c>
      <c r="E43" s="37" t="inlineStr">
        <is>
          <t>T38</t>
        </is>
      </c>
      <c r="F43" s="35" t="inlineStr">
        <is>
          <t>대기</t>
        </is>
      </c>
      <c r="G43" s="38" t="n"/>
    </row>
    <row r="44" ht="15" customHeight="1" s="22">
      <c r="A44" s="34" t="inlineStr">
        <is>
          <t>T40</t>
        </is>
      </c>
      <c r="B44" s="34" t="inlineStr">
        <is>
          <t>7/16</t>
        </is>
      </c>
      <c r="C44" s="35" t="inlineStr">
        <is>
          <t>전원</t>
        </is>
      </c>
      <c r="D44" s="36" t="inlineStr">
        <is>
          <t>전체 기능 통합 테스트(Must 16개 항목 전수 점검)</t>
        </is>
      </c>
      <c r="E44" s="37" t="inlineStr">
        <is>
          <t>T17~T39</t>
        </is>
      </c>
      <c r="F44" s="35" t="inlineStr">
        <is>
          <t>대기</t>
        </is>
      </c>
      <c r="G44" s="38" t="inlineStr">
        <is>
          <t>Must 16개 전수 체크</t>
        </is>
      </c>
    </row>
    <row r="45" ht="15" customHeight="1" s="22">
      <c r="A45" s="34" t="inlineStr">
        <is>
          <t>T41</t>
        </is>
      </c>
      <c r="B45" s="34" t="inlineStr">
        <is>
          <t>7/17</t>
        </is>
      </c>
      <c r="C45" s="35" t="inlineStr">
        <is>
          <t>전원</t>
        </is>
      </c>
      <c r="D45" s="36" t="inlineStr">
        <is>
          <t>버그 수정·최종 점검</t>
        </is>
      </c>
      <c r="E45" s="37" t="inlineStr">
        <is>
          <t>T40</t>
        </is>
      </c>
      <c r="F45" s="35" t="inlineStr">
        <is>
          <t>대기</t>
        </is>
      </c>
      <c r="G45" s="38" t="n"/>
    </row>
    <row r="46" ht="15" customHeight="1" s="22">
      <c r="A46" s="34" t="inlineStr">
        <is>
          <t>T42</t>
        </is>
      </c>
      <c r="B46" s="34" t="inlineStr">
        <is>
          <t>7/17</t>
        </is>
      </c>
      <c r="C46" s="34" t="inlineStr">
        <is>
          <t>PM</t>
        </is>
      </c>
      <c r="D46" s="36" t="inlineStr">
        <is>
          <t>발표자료(PPT) 준비</t>
        </is>
      </c>
      <c r="E46" s="37" t="inlineStr">
        <is>
          <t>T40</t>
        </is>
      </c>
      <c r="F46" s="35" t="inlineStr">
        <is>
          <t>대기</t>
        </is>
      </c>
      <c r="G46" s="38" t="n"/>
    </row>
    <row r="47" ht="15" customHeight="1" s="22">
      <c r="A47" s="34" t="inlineStr">
        <is>
          <t>T43</t>
        </is>
      </c>
      <c r="B47" s="34" t="inlineStr">
        <is>
          <t>7/17</t>
        </is>
      </c>
      <c r="C47" s="35" t="inlineStr">
        <is>
          <t>전원</t>
        </is>
      </c>
      <c r="D47" s="36" t="inlineStr">
        <is>
          <t>데모 리허설</t>
        </is>
      </c>
      <c r="E47" s="37" t="inlineStr">
        <is>
          <t>T41,T42</t>
        </is>
      </c>
      <c r="F47" s="35" t="inlineStr">
        <is>
          <t>대기</t>
        </is>
      </c>
      <c r="G47" s="38" t="n"/>
    </row>
    <row r="48" ht="15" customHeight="1" s="22">
      <c r="A48" s="34" t="inlineStr">
        <is>
          <t>T44</t>
        </is>
      </c>
      <c r="B48" s="34" t="inlineStr">
        <is>
          <t>7/17</t>
        </is>
      </c>
      <c r="C48" s="35" t="inlineStr">
        <is>
          <t>전원</t>
        </is>
      </c>
      <c r="D48" s="36" t="inlineStr">
        <is>
          <t>최종 리허설 → 발표</t>
        </is>
      </c>
      <c r="E48" s="37" t="inlineStr">
        <is>
          <t>T41,T42,T43</t>
        </is>
      </c>
      <c r="F48" s="35" t="inlineStr">
        <is>
          <t>대기</t>
        </is>
      </c>
      <c r="G48" s="38" t="n"/>
    </row>
    <row r="50" ht="15" customHeight="1" s="22">
      <c r="A50" s="39" t="inlineStr">
        <is>
          <t>전체</t>
        </is>
      </c>
      <c r="B50" s="40">
        <f>COUNTA(A5:A48)</f>
        <v/>
      </c>
    </row>
    <row r="51" ht="15" customHeight="1" s="22">
      <c r="A51" s="41" t="inlineStr">
        <is>
          <t>완료</t>
        </is>
      </c>
      <c r="B51" s="21">
        <f>COUNTIF(F5:F48,"완료")</f>
        <v/>
      </c>
    </row>
    <row r="52" ht="15" customHeight="1" s="22">
      <c r="A52" s="41" t="inlineStr">
        <is>
          <t>진행</t>
        </is>
      </c>
      <c r="B52" s="21">
        <f>COUNTIF(F5:F48,"진행")</f>
        <v/>
      </c>
    </row>
    <row r="53" ht="15" customHeight="1" s="22">
      <c r="A53" s="41" t="inlineStr">
        <is>
          <t>대기</t>
        </is>
      </c>
      <c r="B53" s="21">
        <f>COUNTIF(F5:F48,"대기")</f>
        <v/>
      </c>
    </row>
    <row r="54" ht="15" customHeight="1" s="22">
      <c r="A54" s="39" t="inlineStr">
        <is>
          <t>진행률</t>
        </is>
      </c>
      <c r="B54" s="42">
        <f>TEXT(COUNTIF(F5:F48,"완료")/COUNTA(A5:A48),"0%")</f>
        <v/>
      </c>
    </row>
  </sheetData>
  <mergeCells count="2">
    <mergeCell ref="A2:H2"/>
    <mergeCell ref="A1:H1"/>
  </mergeCells>
  <conditionalFormatting sqref="F5:F48">
    <cfRule type="cellIs" rank="0" priority="2" equalAverage="0" operator="equal" aboveAverage="0" dxfId="0" text="" percent="0" bottom="0">
      <formula>"완료"</formula>
    </cfRule>
    <cfRule type="cellIs" rank="0" priority="3" equalAverage="0" operator="equal" aboveAverage="0" dxfId="1" text="" percent="0" bottom="0">
      <formula>"진행"</formula>
    </cfRule>
    <cfRule type="cellIs" rank="0" priority="4" equalAverage="0" operator="equal" aboveAverage="0" dxfId="2" text="" percent="0" bottom="0">
      <formula>"대기"</formula>
    </cfRule>
  </conditionalFormatting>
  <conditionalFormatting sqref="A5:G48">
    <cfRule type="expression" rank="0" priority="5" equalAverage="0" aboveAverage="0" dxfId="3" text="" percent="0" bottom="0">
      <formula>$F5="완료"</formula>
    </cfRule>
    <cfRule type="expression" rank="0" priority="6" equalAverage="0" aboveAverage="0" dxfId="4" text="" percent="0" bottom="0">
      <formula>$F5="진행"</formula>
    </cfRule>
  </conditionalFormatting>
  <dataValidations count="1">
    <dataValidation sqref="F5:F48" showDropDown="0" showInputMessage="0" showErrorMessage="0" allowBlank="0" type="list" errorStyle="stop" operator="between">
      <formula1>"완료,진행,대기"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2026-07-09T05:04:34Z</dcterms:created>
  <dcterms:modified xmlns:dcterms="http://purl.org/dc/terms/" xmlns:xsi="http://www.w3.org/2001/XMLSchema-instance" xsi:type="dcterms:W3CDTF">2026-07-09T05:05:07Z</dcterms:modified>
  <cp:revision>0</cp:revision>
</cp:coreProperties>
</file>