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4"/>
    <sheet state="visible" name="체크리스트" sheetId="2" r:id="rId5"/>
    <sheet state="visible" name="간트차트" sheetId="3" r:id="rId6"/>
    <sheet state="visible" name="동적간트" sheetId="4" r:id="rId7"/>
  </sheets>
  <definedNames/>
  <calcPr/>
  <extLst>
    <ext uri="GoogleSheetsCustomDataVersion2">
      <go:sheetsCustomData xmlns:go="http://customooxmlschemas.google.com/" r:id="rId8" roundtripDataChecksum="YxDn4i3sdkhlZBovNgbq9e7NTJr8CV8htBt7N2p6csY="/>
    </ext>
  </extLst>
</workbook>
</file>

<file path=xl/sharedStrings.xml><?xml version="1.0" encoding="utf-8"?>
<sst xmlns="http://schemas.openxmlformats.org/spreadsheetml/2006/main" count="511" uniqueCount="162">
  <si>
    <t>AI 지역관광 맞춤 여행플래너(전통시장 특화) — 2주 프로젝트 개요</t>
  </si>
  <si>
    <t>팀 4인(PM·UX·백엔드·프론트) 기준 타임테이블. 독거노인_AI안부_2주_타임테이블 양식을 참고해 재구성</t>
  </si>
  <si>
    <t>프로젝트명</t>
  </si>
  <si>
    <t>AI 기반 지역 관광 맞춤 여행 플래너 (전통시장·5일장 차별화)</t>
  </si>
  <si>
    <t>기간</t>
  </si>
  <si>
    <t>2026-07-06 ~ 2026-07-17 (2주, 주말 제외 10 영업일)</t>
  </si>
  <si>
    <t>오늘 기준</t>
  </si>
  <si>
    <t>7/9 (Day4) — 내일(7/10)부터 실제 개발 착수, 잔여 개발일 6일(7/10, 7/13~7/17)</t>
  </si>
  <si>
    <t>팀 구성</t>
  </si>
  <si>
    <t>PM 1, UX 1, 백엔드(AI 포함) 1, 프론트엔드 1 — 총 4인</t>
  </si>
  <si>
    <t>우선순위 방식</t>
  </si>
  <si>
    <t>MoSCoW (Must 16 / Should 7 / Could 7 / 총 30개 항목, 8.우선순위MoSCoW 시트 기준)</t>
  </si>
  <si>
    <t>핵심 기능(Must)</t>
  </si>
  <si>
    <t>로그인/회원가입, 자연어 조건입력·추출, RAG 후보검색, 결과화면, 일정수정, 리뷰요약·작성·조회, 상인대시보드, 관리자 화면/대시보드, 전통시장 정보관리, 즐겨찾기, 예약(결제 제외)</t>
  </si>
  <si>
    <t>추후 고도화(Should~Could)</t>
  </si>
  <si>
    <t>QR 방문인증·개선사항 관리, 상인 할인·이벤트·쿠폰, QR 미니 홈페이지, 5일장 정보/장날 연동, 시장 내부지도·동선추천, 5일장 구역체크인, 관리자 공지사항/문의관리</t>
  </si>
  <si>
    <t>Phase 2~3(로드맵)</t>
  </si>
  <si>
    <t>예약 선결제, 시장 혼잡도 안내, AI 스탬프 투어·리워드 관리</t>
  </si>
  <si>
    <t>산출물</t>
  </si>
  <si>
    <t>PRD(16개 시트), Streamlit/Gradio MVP, 발표자료, 데모 리허설</t>
  </si>
  <si>
    <t>발표일</t>
  </si>
  <si>
    <t>2026-07-17 (Day10) 오전 최종 리허설 → 발표</t>
  </si>
  <si>
    <t>태스크 체크리스트 (선행조건·진행 상태) — AI 지역관광 여행플래너 (전통시장 특화) 2주 프로젝트</t>
  </si>
  <si>
    <t>'선행'=이 태스크 시작 전에 끝나 있어야 하는 태스크 ID. 상태 칸에 '완료' 입력 시 하단 진행률 자동 계산 / 팀원 4인(PM·UX·백엔드·프론트), 오늘은 7/9(Day4), 내일부터 개발 시작해 잔여 개발일 6일(7/10,13~17)</t>
  </si>
  <si>
    <t>ID</t>
  </si>
  <si>
    <t>일자</t>
  </si>
  <si>
    <t>담당</t>
  </si>
  <si>
    <t>태스크</t>
  </si>
  <si>
    <t>선행조건</t>
  </si>
  <si>
    <t>상태</t>
  </si>
  <si>
    <t>비고</t>
  </si>
  <si>
    <t>T1</t>
  </si>
  <si>
    <t>7/6</t>
  </si>
  <si>
    <t>전원</t>
  </si>
  <si>
    <t>킥오프 — 목표·범위·공통데이터 합의</t>
  </si>
  <si>
    <t>-</t>
  </si>
  <si>
    <t>완료</t>
  </si>
  <si>
    <t>T2</t>
  </si>
  <si>
    <t>PM</t>
  </si>
  <si>
    <t>공공데이터·지도 API 신청/승인 요청</t>
  </si>
  <si>
    <t>T3</t>
  </si>
  <si>
    <t>UX</t>
  </si>
  <si>
    <t>페르소나 3종 초안(가족/친구/커플)</t>
  </si>
  <si>
    <t>T4</t>
  </si>
  <si>
    <t>백엔드</t>
  </si>
  <si>
    <t>LLM API·개발환경(Colab/Streamlit) 세팅</t>
  </si>
  <si>
    <t>T5</t>
  </si>
  <si>
    <t>관광 공공데이터 CSV 다운로드 착수</t>
  </si>
  <si>
    <t>T6</t>
  </si>
  <si>
    <t>프론트</t>
  </si>
  <si>
    <t>Gradio/Streamlit 세팅·UI 레퍼런스 조사</t>
  </si>
  <si>
    <t>T7</t>
  </si>
  <si>
    <t>7/7</t>
  </si>
  <si>
    <t>문제정의서·핵심 시나리오 정의</t>
  </si>
  <si>
    <t>T8</t>
  </si>
  <si>
    <t>저니맵(가족/친구/커플) 작성</t>
  </si>
  <si>
    <t>T3,T7</t>
  </si>
  <si>
    <t>T9</t>
  </si>
  <si>
    <t>대화 스크립트(챗봇 시나리오) 초안</t>
  </si>
  <si>
    <t>T10</t>
  </si>
  <si>
    <t>조건 슬롯 추출 프롬프트 v0</t>
  </si>
  <si>
    <t>T11</t>
  </si>
  <si>
    <t>RAG 벡터 인덱스(FAISS) 초안 구축</t>
  </si>
  <si>
    <t>T12</t>
  </si>
  <si>
    <t>화면구조(IA) 설계 — 4대 메인화면 6/4/4/8탭</t>
  </si>
  <si>
    <t>T13</t>
  </si>
  <si>
    <t>7/8</t>
  </si>
  <si>
    <t>메인 화면(6탭) 목업 제작</t>
  </si>
  <si>
    <t>T14</t>
  </si>
  <si>
    <t>PRD 작성(기능요구사항 v1.0~v1.4) 및 확정</t>
  </si>
  <si>
    <t>T15</t>
  </si>
  <si>
    <t>톤앤매너·와이어프레임(로그인~관리자)</t>
  </si>
  <si>
    <t>T16</t>
  </si>
  <si>
    <t>로그인/회원가입 API 구현(FR-001~011)</t>
  </si>
  <si>
    <t>T17</t>
  </si>
  <si>
    <t>7/9</t>
  </si>
  <si>
    <t>로그인/회원가입 화면 구현</t>
  </si>
  <si>
    <t>T15,T16</t>
  </si>
  <si>
    <t>진행</t>
  </si>
  <si>
    <t>T18</t>
  </si>
  <si>
    <t>전통시장·5일장 차별화 요구사항 확정(FR-057~078), MoSCoW 재정렬</t>
  </si>
  <si>
    <t>Must 16 / Should 7 / Could 7로 확정</t>
  </si>
  <si>
    <t>T19</t>
  </si>
  <si>
    <t>전통시장 방문 니즈 페르소나 반영, 신규 화면 정의(SC-16~26)</t>
  </si>
  <si>
    <t>T20</t>
  </si>
  <si>
    <t>RAG 후보검색·코스생성 로직 고도화</t>
  </si>
  <si>
    <t>T21</t>
  </si>
  <si>
    <t>7/10</t>
  </si>
  <si>
    <t>자연어 조건입력/추출 API 완성</t>
  </si>
  <si>
    <t>T16,T20</t>
  </si>
  <si>
    <t>대기</t>
  </si>
  <si>
    <t>개발 첫날</t>
  </si>
  <si>
    <t>T22</t>
  </si>
  <si>
    <t>대화 세션 저장/이어서 하기 구현</t>
  </si>
  <si>
    <t>T23</t>
  </si>
  <si>
    <t>대화 UI + 대화기록 사이드바 구현</t>
  </si>
  <si>
    <t>T21,T22</t>
  </si>
  <si>
    <t>T24</t>
  </si>
  <si>
    <t>즐겨찾기(찜하기) API 구현(FR-059)</t>
  </si>
  <si>
    <t>T25</t>
  </si>
  <si>
    <t>7/13</t>
  </si>
  <si>
    <t>RAG 후보검색 결과화면·장소카드 구현</t>
  </si>
  <si>
    <t>T20,T21</t>
  </si>
  <si>
    <t>T26</t>
  </si>
  <si>
    <t>일정 수정(추가·삭제·교체) API(FR-029~034)</t>
  </si>
  <si>
    <t>T27</t>
  </si>
  <si>
    <t>일정 수정 UI 구현</t>
  </si>
  <si>
    <t>T28</t>
  </si>
  <si>
    <t>리뷰 요약 로직(FR-035)</t>
  </si>
  <si>
    <t>T29</t>
  </si>
  <si>
    <t>7/14</t>
  </si>
  <si>
    <t>리뷰 작성/조회 API(FR-038~040)</t>
  </si>
  <si>
    <t>T30</t>
  </si>
  <si>
    <t>리뷰 화면 구현</t>
  </si>
  <si>
    <t>T31</t>
  </si>
  <si>
    <t>상인 대시보드 API(FR-048~049)</t>
  </si>
  <si>
    <t>T32</t>
  </si>
  <si>
    <t>상인 대시보드 화면 구현</t>
  </si>
  <si>
    <t>T33</t>
  </si>
  <si>
    <t>백엔드/프론트</t>
  </si>
  <si>
    <t>전통시장 예약주문 접수/확인(FR-063~064, 결제 제외)</t>
  </si>
  <si>
    <t>T16,T31</t>
  </si>
  <si>
    <t>Should→Must 승격분, 일정 압박 주의</t>
  </si>
  <si>
    <t>T34</t>
  </si>
  <si>
    <t>7/15</t>
  </si>
  <si>
    <t>전통시장 정보관리(관리자) API(FR-060)</t>
  </si>
  <si>
    <t>T35</t>
  </si>
  <si>
    <t>관리자 화면(8탭) 구현</t>
  </si>
  <si>
    <t>T36</t>
  </si>
  <si>
    <t>RBAC 권한 처리(FR-050)</t>
  </si>
  <si>
    <t>T37</t>
  </si>
  <si>
    <t>7/16</t>
  </si>
  <si>
    <t>관리자 대시보드/DB현황 지표 정의</t>
  </si>
  <si>
    <t>T38</t>
  </si>
  <si>
    <t>관리자 대시보드 API(FR-054~055)</t>
  </si>
  <si>
    <t>T39</t>
  </si>
  <si>
    <t>관리자 대시보드 화면 구현</t>
  </si>
  <si>
    <t>T40</t>
  </si>
  <si>
    <t>전체 기능 통합 테스트(Must 16개 항목 전수 점검)</t>
  </si>
  <si>
    <t>T17~T39</t>
  </si>
  <si>
    <t>Must 16개 전수 체크</t>
  </si>
  <si>
    <t>T41</t>
  </si>
  <si>
    <t>7/17</t>
  </si>
  <si>
    <t>버그 수정·최종 점검</t>
  </si>
  <si>
    <t>T42</t>
  </si>
  <si>
    <t>발표자료(PPT) 준비</t>
  </si>
  <si>
    <t>T43</t>
  </si>
  <si>
    <t>데모 리허설</t>
  </si>
  <si>
    <t>T41,T42</t>
  </si>
  <si>
    <t>T44</t>
  </si>
  <si>
    <t>최종 리허설 → 발표</t>
  </si>
  <si>
    <t>T41,T42,T43</t>
  </si>
  <si>
    <t>전체</t>
  </si>
  <si>
    <t>진행률</t>
  </si>
  <si>
    <t>간트차트 — 태스크별 일정 (담당자 색상 기준)</t>
  </si>
  <si>
    <t>보라=PM · 주황=UX · 파랑=백엔드 · 초록=프론트 · 청록=백엔드+프론트 · 회색=전원 / 각 태스크의 배정일에 담당자 색상 표시</t>
  </si>
  <si>
    <t>ALL</t>
  </si>
  <si>
    <t>BE</t>
  </si>
  <si>
    <t>FE</t>
  </si>
  <si>
    <t>BE·FE</t>
  </si>
  <si>
    <t>동적 간트차트 — 체크리스트 상태와 실시간 연동</t>
  </si>
  <si>
    <t>담당/상태는 '체크리스트' 탭 값을 실시간으로 불러옵니다(체크리스트에서 상태를 바꾸면 이 표도 자동 갱신). 파랑=완료 · 초록=진행 · 회색=대기 / 노란 배경 열=오늘(TODAY 기준 자동 이동)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</si>
</sst>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1">
    <font>
      <sz val="11.0"/>
      <color theme="1"/>
      <name val="Calibri"/>
      <scheme val="minor"/>
    </font>
    <font>
      <b/>
      <sz val="14.0"/>
      <color rgb="FFFFFFFF"/>
      <name val="Malgun Gothic"/>
    </font>
    <font/>
    <font>
      <sz val="10.0"/>
      <color rgb="FFFFFFFF"/>
      <name val="Noto Sans"/>
    </font>
    <font>
      <sz val="11.0"/>
      <color theme="1"/>
      <name val="Calibri"/>
    </font>
    <font>
      <b/>
      <sz val="10.0"/>
      <color theme="1"/>
      <name val="Noto Sans"/>
    </font>
    <font>
      <sz val="10.0"/>
      <color theme="1"/>
      <name val="Malgun Gothic"/>
    </font>
    <font>
      <sz val="10.0"/>
      <color theme="1"/>
      <name val="Noto Sans"/>
    </font>
    <font>
      <b/>
      <sz val="10.0"/>
      <color theme="1"/>
      <name val="Malgun Gothic"/>
    </font>
    <font>
      <b/>
      <sz val="14.0"/>
      <color rgb="FFFFFFFF"/>
      <name val="Noto Sans"/>
    </font>
    <font>
      <sz val="10.0"/>
      <color rgb="FFFFFFFF"/>
      <name val="Malgun Gothic"/>
    </font>
    <font>
      <b/>
      <sz val="10.0"/>
      <color theme="1"/>
      <name val="Calibri"/>
    </font>
    <font>
      <sz val="10.0"/>
      <color theme="1"/>
      <name val="Calibri"/>
    </font>
    <font>
      <sz val="10.0"/>
      <color rgb="FFCC0000"/>
      <name val="Calibri"/>
    </font>
    <font>
      <b/>
      <sz val="10.0"/>
      <color rgb="FF1155CC"/>
      <name val="Malgun Gothic"/>
    </font>
    <font>
      <b/>
      <sz val="9.0"/>
      <color theme="1"/>
      <name val="Malgun Gothic"/>
    </font>
    <font>
      <b/>
      <sz val="9.0"/>
      <color theme="1"/>
      <name val="Noto Sans"/>
    </font>
    <font>
      <sz val="9.0"/>
      <color theme="1"/>
      <name val="Calibri"/>
    </font>
    <font>
      <b/>
      <sz val="8.0"/>
      <color rgb="FFFFFFFF"/>
      <name val="Calibri"/>
    </font>
    <font>
      <b/>
      <sz val="8.0"/>
      <color rgb="FF5A3E00"/>
      <name val="Calibri"/>
    </font>
    <font>
      <sz val="8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3B5B92"/>
        <bgColor rgb="FF3B5B92"/>
      </patternFill>
    </fill>
    <fill>
      <patternFill patternType="solid">
        <fgColor rgb="FFE8EDF5"/>
        <bgColor rgb="FFE8EDF5"/>
      </patternFill>
    </fill>
    <fill>
      <patternFill patternType="solid">
        <fgColor rgb="FFC9CCD1"/>
        <bgColor rgb="FFC9CCD1"/>
      </patternFill>
    </fill>
    <fill>
      <patternFill patternType="solid">
        <fgColor rgb="FFB68CE0"/>
        <bgColor rgb="FFB68CE0"/>
      </patternFill>
    </fill>
    <fill>
      <patternFill patternType="solid">
        <fgColor rgb="FFFFC170"/>
        <bgColor rgb="FFFFC170"/>
      </patternFill>
    </fill>
    <fill>
      <patternFill patternType="solid">
        <fgColor rgb="FF7FB3F0"/>
        <bgColor rgb="FF7FB3F0"/>
      </patternFill>
    </fill>
    <fill>
      <patternFill patternType="solid">
        <fgColor rgb="FF8FD98F"/>
        <bgColor rgb="FF8FD98F"/>
      </patternFill>
    </fill>
    <fill>
      <patternFill patternType="solid">
        <fgColor rgb="FF9AD1C8"/>
        <bgColor rgb="FF9AD1C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4" fillId="4" fontId="5" numFmtId="0" xfId="0" applyAlignment="1" applyBorder="1" applyFill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6" fillId="0" fontId="2" numFmtId="0" xfId="0" applyBorder="1" applyFont="1"/>
    <xf borderId="5" fillId="0" fontId="7" numFmtId="0" xfId="0" applyAlignment="1" applyBorder="1" applyFont="1">
      <alignment shrinkToFit="0" vertical="top" wrapText="1"/>
    </xf>
    <xf borderId="4" fillId="4" fontId="8" numFmtId="0" xfId="0" applyAlignment="1" applyBorder="1" applyFont="1">
      <alignment shrinkToFit="0" vertical="top" wrapText="1"/>
    </xf>
    <xf borderId="1" fillId="2" fontId="9" numFmtId="0" xfId="0" applyAlignment="1" applyBorder="1" applyFont="1">
      <alignment horizontal="left" vertical="center"/>
    </xf>
    <xf borderId="1" fillId="3" fontId="10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 readingOrder="0" shrinkToFit="0" vertical="center" wrapText="0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4" numFmtId="0" xfId="0" applyAlignment="1" applyFont="1">
      <alignment vertical="bottom"/>
    </xf>
    <xf borderId="1" fillId="2" fontId="9" numFmtId="0" xfId="0" applyAlignment="1" applyBorder="1" applyFont="1">
      <alignment vertical="bottom"/>
    </xf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7" fillId="0" fontId="17" numFmtId="0" xfId="0" applyAlignment="1" applyBorder="1" applyFont="1">
      <alignment shrinkToFit="0" vertical="center" wrapText="1"/>
    </xf>
    <xf borderId="7" fillId="0" fontId="17" numFmtId="0" xfId="0" applyAlignment="1" applyBorder="1" applyFont="1">
      <alignment shrinkToFit="0" vertical="center" wrapText="1"/>
    </xf>
    <xf borderId="7" fillId="5" fontId="18" numFmtId="0" xfId="0" applyAlignment="1" applyBorder="1" applyFill="1" applyFont="1">
      <alignment horizontal="center" shrinkToFit="0" vertical="center" wrapText="0"/>
    </xf>
    <xf borderId="7" fillId="0" fontId="4" numFmtId="0" xfId="0" applyAlignment="1" applyBorder="1" applyFont="1">
      <alignment shrinkToFit="0" vertical="bottom" wrapText="0"/>
    </xf>
    <xf borderId="7" fillId="6" fontId="18" numFmtId="0" xfId="0" applyAlignment="1" applyBorder="1" applyFill="1" applyFont="1">
      <alignment horizontal="center" shrinkToFit="0" vertical="center" wrapText="0"/>
    </xf>
    <xf borderId="7" fillId="7" fontId="19" numFmtId="0" xfId="0" applyAlignment="1" applyBorder="1" applyFill="1" applyFont="1">
      <alignment horizontal="center" shrinkToFit="0" vertical="center" wrapText="0"/>
    </xf>
    <xf borderId="7" fillId="8" fontId="18" numFmtId="0" xfId="0" applyAlignment="1" applyBorder="1" applyFill="1" applyFont="1">
      <alignment horizontal="center" shrinkToFit="0" vertical="center" wrapText="0"/>
    </xf>
    <xf borderId="7" fillId="9" fontId="18" numFmtId="0" xfId="0" applyAlignment="1" applyBorder="1" applyFill="1" applyFont="1">
      <alignment horizontal="center" shrinkToFit="0" vertical="center" wrapText="0"/>
    </xf>
    <xf borderId="7" fillId="10" fontId="18" numFmtId="0" xfId="0" applyAlignment="1" applyBorder="1" applyFill="1" applyFont="1">
      <alignment horizontal="center" shrinkToFit="0" vertical="center" wrapText="0"/>
    </xf>
    <xf borderId="0" fillId="0" fontId="15" numFmtId="164" xfId="0" applyAlignment="1" applyFont="1" applyNumberFormat="1">
      <alignment horizontal="center" readingOrder="0" shrinkToFit="0" vertical="center" wrapText="0"/>
    </xf>
    <xf borderId="7" fillId="0" fontId="17" numFmtId="0" xfId="0" applyAlignment="1" applyBorder="1" applyFont="1">
      <alignment horizontal="center" shrinkToFit="0" vertical="center" wrapText="1"/>
    </xf>
    <xf borderId="7" fillId="0" fontId="17" numFmtId="0" xfId="0" applyAlignment="1" applyBorder="1" applyFont="1">
      <alignment horizontal="left" shrinkToFit="0" vertical="center" wrapText="1"/>
    </xf>
    <xf borderId="7" fillId="0" fontId="20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1155CC"/>
      </font>
      <fill>
        <patternFill patternType="none"/>
      </fill>
      <border/>
    </dxf>
    <dxf>
      <font>
        <b/>
        <color rgb="FF0B8A3E"/>
      </font>
      <fill>
        <patternFill patternType="none"/>
      </fill>
      <border/>
    </dxf>
    <dxf>
      <font>
        <color rgb="FF888888"/>
      </font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EAF6EC"/>
          <bgColor rgb="FFEAF6EC"/>
        </patternFill>
      </fill>
      <border/>
    </dxf>
    <dxf>
      <font/>
      <fill>
        <patternFill patternType="solid">
          <fgColor rgb="FF1F6FB2"/>
          <bgColor rgb="FF1F6FB2"/>
        </patternFill>
      </fill>
      <border/>
    </dxf>
    <dxf>
      <font/>
      <fill>
        <patternFill patternType="solid">
          <fgColor rgb="FF2E9E4A"/>
          <bgColor rgb="FF2E9E4A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FF7DE"/>
          <bgColor rgb="FFFFF7DE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  <tableStyles count="3">
    <tableStyle count="4" pivot="0" name="체크리스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간트차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동적간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G48" displayName="표3" name="표3" id="1">
  <tableColumns count="7">
    <tableColumn name="ID" id="1"/>
    <tableColumn name="일자" id="2"/>
    <tableColumn name="담당" id="3"/>
    <tableColumn name="태스크" id="4"/>
    <tableColumn name="선행조건" id="5"/>
    <tableColumn name="상태" id="6"/>
    <tableColumn name="비고" id="7"/>
  </tableColumns>
  <tableStyleInfo name="체크리스트-style" showColumnStripes="0" showFirstColumn="1" showLastColumn="1" showRowStripes="1"/>
</table>
</file>

<file path=xl/tables/table2.xml><?xml version="1.0" encoding="utf-8"?>
<table xmlns="http://schemas.openxmlformats.org/spreadsheetml/2006/main" ref="A4:M48" displayName="표1" name="표1" id="2">
  <tableColumns count="13">
    <tableColumn name="ID" id="1"/>
    <tableColumn name="담당" id="2"/>
    <tableColumn name="태스크" id="3"/>
    <tableColumn name="7/6" id="4"/>
    <tableColumn name="7/7" id="5"/>
    <tableColumn name="7/8" id="6"/>
    <tableColumn name="7/9" id="7"/>
    <tableColumn name="7/10" id="8"/>
    <tableColumn name="7/13" id="9"/>
    <tableColumn name="7/14" id="10"/>
    <tableColumn name="7/15" id="11"/>
    <tableColumn name="7/16" id="12"/>
    <tableColumn name="7/17" id="13"/>
  </tableColumns>
  <tableStyleInfo name="간트차트-style" showColumnStripes="0" showFirstColumn="1" showLastColumn="1" showRowStripes="1"/>
</table>
</file>

<file path=xl/tables/table3.xml><?xml version="1.0" encoding="utf-8"?>
<table xmlns="http://schemas.openxmlformats.org/spreadsheetml/2006/main" ref="A4:N48" displayName="표2" name="표2" id="3">
  <tableColumns count="14">
    <tableColumn name="ID" id="1"/>
    <tableColumn name="태스크" id="2"/>
    <tableColumn name="담당" id="3"/>
    <tableColumn name="상태" id="4"/>
    <tableColumn name="7/6" id="5"/>
    <tableColumn name="7/7" id="6"/>
    <tableColumn name="7/8" id="7"/>
    <tableColumn name="7/9" id="8"/>
    <tableColumn name="7/10" id="9"/>
    <tableColumn name="7/13" id="10"/>
    <tableColumn name="7/14" id="11"/>
    <tableColumn name="7/15" id="12"/>
    <tableColumn name="7/16" id="13"/>
    <tableColumn name="7/17" id="14"/>
  </tableColumns>
  <tableStyleInfo name="동적간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4" width="28.0"/>
    <col customWidth="1" min="5" max="26" width="8.71"/>
  </cols>
  <sheetData>
    <row r="1" ht="25.5" customHeight="1">
      <c r="A1" s="1" t="s">
        <v>0</v>
      </c>
      <c r="B1" s="2"/>
      <c r="C1" s="2"/>
      <c r="D1" s="3"/>
    </row>
    <row r="2" ht="19.5" customHeight="1">
      <c r="A2" s="4" t="s">
        <v>1</v>
      </c>
      <c r="B2" s="2"/>
      <c r="C2" s="2"/>
      <c r="D2" s="3"/>
    </row>
    <row r="3">
      <c r="A3" s="5"/>
      <c r="B3" s="5"/>
      <c r="C3" s="5"/>
      <c r="D3" s="5"/>
    </row>
    <row r="4" ht="33.75" customHeight="1">
      <c r="A4" s="6" t="s">
        <v>2</v>
      </c>
      <c r="B4" s="7" t="s">
        <v>3</v>
      </c>
      <c r="C4" s="8"/>
      <c r="D4" s="8"/>
    </row>
    <row r="5" ht="33.75" customHeight="1">
      <c r="A5" s="6" t="s">
        <v>4</v>
      </c>
      <c r="B5" s="7" t="s">
        <v>5</v>
      </c>
      <c r="C5" s="8"/>
      <c r="D5" s="8"/>
    </row>
    <row r="6" ht="33.75" customHeight="1">
      <c r="A6" s="6" t="s">
        <v>6</v>
      </c>
      <c r="B6" s="7" t="s">
        <v>7</v>
      </c>
      <c r="C6" s="8"/>
      <c r="D6" s="8"/>
    </row>
    <row r="7" ht="33.75" customHeight="1">
      <c r="A7" s="6" t="s">
        <v>8</v>
      </c>
      <c r="B7" s="7" t="s">
        <v>9</v>
      </c>
      <c r="C7" s="8"/>
      <c r="D7" s="8"/>
    </row>
    <row r="8" ht="33.75" customHeight="1">
      <c r="A8" s="6" t="s">
        <v>10</v>
      </c>
      <c r="B8" s="7" t="s">
        <v>11</v>
      </c>
      <c r="C8" s="8"/>
      <c r="D8" s="8"/>
    </row>
    <row r="9" ht="33.75" customHeight="1">
      <c r="A9" s="6" t="s">
        <v>12</v>
      </c>
      <c r="B9" s="9" t="s">
        <v>13</v>
      </c>
      <c r="C9" s="8"/>
      <c r="D9" s="8"/>
    </row>
    <row r="10" ht="33.75" customHeight="1">
      <c r="A10" s="6" t="s">
        <v>14</v>
      </c>
      <c r="B10" s="7" t="s">
        <v>15</v>
      </c>
      <c r="C10" s="8"/>
      <c r="D10" s="8"/>
    </row>
    <row r="11" ht="33.75" customHeight="1">
      <c r="A11" s="10" t="s">
        <v>16</v>
      </c>
      <c r="B11" s="9" t="s">
        <v>17</v>
      </c>
      <c r="C11" s="8"/>
      <c r="D11" s="8"/>
    </row>
    <row r="12" ht="33.75" customHeight="1">
      <c r="A12" s="6" t="s">
        <v>18</v>
      </c>
      <c r="B12" s="7" t="s">
        <v>19</v>
      </c>
      <c r="C12" s="8"/>
      <c r="D12" s="8"/>
    </row>
    <row r="13" ht="33.75" customHeight="1">
      <c r="A13" s="6" t="s">
        <v>20</v>
      </c>
      <c r="B13" s="7" t="s">
        <v>21</v>
      </c>
      <c r="C13" s="8"/>
      <c r="D13" s="8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mergeCells count="12">
    <mergeCell ref="B9:D9"/>
    <mergeCell ref="B10:D10"/>
    <mergeCell ref="B11:D11"/>
    <mergeCell ref="B12:D12"/>
    <mergeCell ref="B13:D13"/>
    <mergeCell ref="A1:D1"/>
    <mergeCell ref="A2:D2"/>
    <mergeCell ref="B4:D4"/>
    <mergeCell ref="B5:D5"/>
    <mergeCell ref="B6:D6"/>
    <mergeCell ref="B7:D7"/>
    <mergeCell ref="B8:D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29"/>
    <col customWidth="1" min="2" max="3" width="13.57"/>
    <col customWidth="1" min="4" max="4" width="46.0"/>
    <col customWidth="1" min="5" max="5" width="14.0"/>
    <col customWidth="1" min="6" max="6" width="13.57"/>
    <col customWidth="1" min="7" max="7" width="30.0"/>
    <col customWidth="1" min="8" max="26" width="8.71"/>
  </cols>
  <sheetData>
    <row r="1" ht="25.5" customHeight="1">
      <c r="A1" s="11" t="s">
        <v>22</v>
      </c>
      <c r="B1" s="2"/>
      <c r="C1" s="2"/>
      <c r="D1" s="2"/>
      <c r="E1" s="2"/>
      <c r="F1" s="2"/>
      <c r="G1" s="3"/>
    </row>
    <row r="2" ht="27.75" customHeight="1">
      <c r="A2" s="12" t="s">
        <v>23</v>
      </c>
      <c r="B2" s="2"/>
      <c r="C2" s="2"/>
      <c r="D2" s="2"/>
      <c r="E2" s="2"/>
      <c r="F2" s="2"/>
      <c r="G2" s="3"/>
    </row>
    <row r="3">
      <c r="A3" s="5"/>
      <c r="B3" s="5"/>
      <c r="C3" s="5"/>
      <c r="D3" s="5"/>
      <c r="E3" s="5"/>
      <c r="F3" s="5"/>
      <c r="G3" s="5"/>
    </row>
    <row r="4" ht="19.5" customHeight="1">
      <c r="A4" s="13" t="s">
        <v>24</v>
      </c>
      <c r="B4" s="13" t="s">
        <v>25</v>
      </c>
      <c r="C4" s="13" t="s">
        <v>26</v>
      </c>
      <c r="D4" s="13" t="s">
        <v>27</v>
      </c>
      <c r="E4" s="13" t="s">
        <v>28</v>
      </c>
      <c r="F4" s="13" t="s">
        <v>29</v>
      </c>
      <c r="G4" s="13" t="s">
        <v>30</v>
      </c>
    </row>
    <row r="5" ht="15.0" customHeight="1">
      <c r="A5" s="14" t="s">
        <v>31</v>
      </c>
      <c r="B5" s="15" t="s">
        <v>32</v>
      </c>
      <c r="C5" s="15" t="s">
        <v>33</v>
      </c>
      <c r="D5" s="16" t="s">
        <v>34</v>
      </c>
      <c r="E5" s="17" t="s">
        <v>35</v>
      </c>
      <c r="F5" s="15" t="s">
        <v>36</v>
      </c>
      <c r="G5" s="16"/>
    </row>
    <row r="6" ht="15.0" customHeight="1">
      <c r="A6" s="14" t="s">
        <v>37</v>
      </c>
      <c r="B6" s="15" t="s">
        <v>32</v>
      </c>
      <c r="C6" s="15" t="s">
        <v>38</v>
      </c>
      <c r="D6" s="16" t="s">
        <v>39</v>
      </c>
      <c r="E6" s="17" t="s">
        <v>31</v>
      </c>
      <c r="F6" s="15" t="s">
        <v>36</v>
      </c>
      <c r="G6" s="16"/>
    </row>
    <row r="7" ht="15.0" customHeight="1">
      <c r="A7" s="14" t="s">
        <v>40</v>
      </c>
      <c r="B7" s="15" t="s">
        <v>32</v>
      </c>
      <c r="C7" s="15" t="s">
        <v>41</v>
      </c>
      <c r="D7" s="16" t="s">
        <v>42</v>
      </c>
      <c r="E7" s="17" t="s">
        <v>31</v>
      </c>
      <c r="F7" s="15" t="s">
        <v>36</v>
      </c>
      <c r="G7" s="16"/>
    </row>
    <row r="8" ht="15.0" customHeight="1">
      <c r="A8" s="14" t="s">
        <v>43</v>
      </c>
      <c r="B8" s="15" t="s">
        <v>32</v>
      </c>
      <c r="C8" s="15" t="s">
        <v>44</v>
      </c>
      <c r="D8" s="16" t="s">
        <v>45</v>
      </c>
      <c r="E8" s="17" t="s">
        <v>31</v>
      </c>
      <c r="F8" s="15" t="s">
        <v>36</v>
      </c>
      <c r="G8" s="16"/>
    </row>
    <row r="9" ht="15.0" customHeight="1">
      <c r="A9" s="14" t="s">
        <v>46</v>
      </c>
      <c r="B9" s="15" t="s">
        <v>32</v>
      </c>
      <c r="C9" s="15" t="s">
        <v>44</v>
      </c>
      <c r="D9" s="16" t="s">
        <v>47</v>
      </c>
      <c r="E9" s="17" t="s">
        <v>37</v>
      </c>
      <c r="F9" s="15" t="s">
        <v>36</v>
      </c>
      <c r="G9" s="16"/>
    </row>
    <row r="10" ht="15.0" customHeight="1">
      <c r="A10" s="14" t="s">
        <v>48</v>
      </c>
      <c r="B10" s="15" t="s">
        <v>32</v>
      </c>
      <c r="C10" s="15" t="s">
        <v>49</v>
      </c>
      <c r="D10" s="16" t="s">
        <v>50</v>
      </c>
      <c r="E10" s="17" t="s">
        <v>31</v>
      </c>
      <c r="F10" s="15" t="s">
        <v>36</v>
      </c>
      <c r="G10" s="16"/>
    </row>
    <row r="11" ht="15.0" customHeight="1">
      <c r="A11" s="14" t="s">
        <v>51</v>
      </c>
      <c r="B11" s="15" t="s">
        <v>52</v>
      </c>
      <c r="C11" s="15" t="s">
        <v>38</v>
      </c>
      <c r="D11" s="16" t="s">
        <v>53</v>
      </c>
      <c r="E11" s="17" t="s">
        <v>31</v>
      </c>
      <c r="F11" s="15" t="s">
        <v>36</v>
      </c>
      <c r="G11" s="16"/>
    </row>
    <row r="12" ht="15.0" customHeight="1">
      <c r="A12" s="14" t="s">
        <v>54</v>
      </c>
      <c r="B12" s="15" t="s">
        <v>52</v>
      </c>
      <c r="C12" s="15" t="s">
        <v>41</v>
      </c>
      <c r="D12" s="16" t="s">
        <v>55</v>
      </c>
      <c r="E12" s="17" t="s">
        <v>56</v>
      </c>
      <c r="F12" s="15" t="s">
        <v>36</v>
      </c>
      <c r="G12" s="16"/>
    </row>
    <row r="13" ht="15.0" customHeight="1">
      <c r="A13" s="14" t="s">
        <v>57</v>
      </c>
      <c r="B13" s="15" t="s">
        <v>52</v>
      </c>
      <c r="C13" s="15" t="s">
        <v>41</v>
      </c>
      <c r="D13" s="16" t="s">
        <v>58</v>
      </c>
      <c r="E13" s="17" t="s">
        <v>54</v>
      </c>
      <c r="F13" s="15" t="s">
        <v>36</v>
      </c>
      <c r="G13" s="16"/>
    </row>
    <row r="14" ht="15.0" customHeight="1">
      <c r="A14" s="14" t="s">
        <v>59</v>
      </c>
      <c r="B14" s="15" t="s">
        <v>52</v>
      </c>
      <c r="C14" s="15" t="s">
        <v>44</v>
      </c>
      <c r="D14" s="16" t="s">
        <v>60</v>
      </c>
      <c r="E14" s="17" t="s">
        <v>46</v>
      </c>
      <c r="F14" s="15" t="s">
        <v>36</v>
      </c>
      <c r="G14" s="16"/>
    </row>
    <row r="15" ht="15.0" customHeight="1">
      <c r="A15" s="14" t="s">
        <v>61</v>
      </c>
      <c r="B15" s="15" t="s">
        <v>52</v>
      </c>
      <c r="C15" s="15" t="s">
        <v>44</v>
      </c>
      <c r="D15" s="16" t="s">
        <v>62</v>
      </c>
      <c r="E15" s="17" t="s">
        <v>59</v>
      </c>
      <c r="F15" s="15" t="s">
        <v>36</v>
      </c>
      <c r="G15" s="16"/>
    </row>
    <row r="16" ht="15.0" customHeight="1">
      <c r="A16" s="14" t="s">
        <v>63</v>
      </c>
      <c r="B16" s="15" t="s">
        <v>52</v>
      </c>
      <c r="C16" s="15" t="s">
        <v>49</v>
      </c>
      <c r="D16" s="16" t="s">
        <v>64</v>
      </c>
      <c r="E16" s="17" t="s">
        <v>48</v>
      </c>
      <c r="F16" s="15" t="s">
        <v>36</v>
      </c>
      <c r="G16" s="16"/>
    </row>
    <row r="17" ht="15.0" customHeight="1">
      <c r="A17" s="14" t="s">
        <v>65</v>
      </c>
      <c r="B17" s="15" t="s">
        <v>66</v>
      </c>
      <c r="C17" s="15" t="s">
        <v>49</v>
      </c>
      <c r="D17" s="16" t="s">
        <v>67</v>
      </c>
      <c r="E17" s="17" t="s">
        <v>63</v>
      </c>
      <c r="F17" s="15" t="s">
        <v>36</v>
      </c>
      <c r="G17" s="16"/>
    </row>
    <row r="18" ht="15.0" customHeight="1">
      <c r="A18" s="14" t="s">
        <v>68</v>
      </c>
      <c r="B18" s="15" t="s">
        <v>66</v>
      </c>
      <c r="C18" s="15" t="s">
        <v>38</v>
      </c>
      <c r="D18" s="16" t="s">
        <v>69</v>
      </c>
      <c r="E18" s="17" t="s">
        <v>51</v>
      </c>
      <c r="F18" s="15" t="s">
        <v>36</v>
      </c>
      <c r="G18" s="16"/>
    </row>
    <row r="19" ht="15.0" customHeight="1">
      <c r="A19" s="14" t="s">
        <v>70</v>
      </c>
      <c r="B19" s="15" t="s">
        <v>66</v>
      </c>
      <c r="C19" s="15" t="s">
        <v>41</v>
      </c>
      <c r="D19" s="16" t="s">
        <v>71</v>
      </c>
      <c r="E19" s="17" t="s">
        <v>57</v>
      </c>
      <c r="F19" s="15" t="s">
        <v>36</v>
      </c>
      <c r="G19" s="16"/>
    </row>
    <row r="20" ht="15.0" customHeight="1">
      <c r="A20" s="14" t="s">
        <v>72</v>
      </c>
      <c r="B20" s="15" t="s">
        <v>66</v>
      </c>
      <c r="C20" s="15" t="s">
        <v>44</v>
      </c>
      <c r="D20" s="16" t="s">
        <v>73</v>
      </c>
      <c r="E20" s="17" t="s">
        <v>68</v>
      </c>
      <c r="F20" s="15" t="s">
        <v>36</v>
      </c>
      <c r="G20" s="16"/>
    </row>
    <row r="21" ht="15.0" customHeight="1">
      <c r="A21" s="14" t="s">
        <v>74</v>
      </c>
      <c r="B21" s="15" t="s">
        <v>75</v>
      </c>
      <c r="C21" s="15" t="s">
        <v>49</v>
      </c>
      <c r="D21" s="16" t="s">
        <v>76</v>
      </c>
      <c r="E21" s="17" t="s">
        <v>77</v>
      </c>
      <c r="F21" s="15" t="s">
        <v>78</v>
      </c>
      <c r="G21" s="16"/>
    </row>
    <row r="22" ht="29.25" customHeight="1">
      <c r="A22" s="14" t="s">
        <v>79</v>
      </c>
      <c r="B22" s="15" t="s">
        <v>75</v>
      </c>
      <c r="C22" s="15" t="s">
        <v>38</v>
      </c>
      <c r="D22" s="16" t="s">
        <v>80</v>
      </c>
      <c r="E22" s="17" t="s">
        <v>68</v>
      </c>
      <c r="F22" s="15" t="s">
        <v>78</v>
      </c>
      <c r="G22" s="16" t="s">
        <v>81</v>
      </c>
    </row>
    <row r="23" ht="26.25" customHeight="1">
      <c r="A23" s="14" t="s">
        <v>82</v>
      </c>
      <c r="B23" s="15" t="s">
        <v>75</v>
      </c>
      <c r="C23" s="15" t="s">
        <v>41</v>
      </c>
      <c r="D23" s="16" t="s">
        <v>83</v>
      </c>
      <c r="E23" s="17" t="s">
        <v>79</v>
      </c>
      <c r="F23" s="15" t="s">
        <v>78</v>
      </c>
      <c r="G23" s="16"/>
    </row>
    <row r="24" ht="15.0" customHeight="1">
      <c r="A24" s="14" t="s">
        <v>84</v>
      </c>
      <c r="B24" s="15" t="s">
        <v>75</v>
      </c>
      <c r="C24" s="15" t="s">
        <v>44</v>
      </c>
      <c r="D24" s="16" t="s">
        <v>85</v>
      </c>
      <c r="E24" s="17" t="s">
        <v>61</v>
      </c>
      <c r="F24" s="15" t="s">
        <v>78</v>
      </c>
      <c r="G24" s="16"/>
    </row>
    <row r="25" ht="15.0" customHeight="1">
      <c r="A25" s="14" t="s">
        <v>86</v>
      </c>
      <c r="B25" s="15" t="s">
        <v>87</v>
      </c>
      <c r="C25" s="15" t="s">
        <v>44</v>
      </c>
      <c r="D25" s="16" t="s">
        <v>88</v>
      </c>
      <c r="E25" s="17" t="s">
        <v>89</v>
      </c>
      <c r="F25" s="15" t="s">
        <v>90</v>
      </c>
      <c r="G25" s="16" t="s">
        <v>91</v>
      </c>
    </row>
    <row r="26" ht="15.0" customHeight="1">
      <c r="A26" s="14" t="s">
        <v>92</v>
      </c>
      <c r="B26" s="15" t="s">
        <v>87</v>
      </c>
      <c r="C26" s="15" t="s">
        <v>44</v>
      </c>
      <c r="D26" s="16" t="s">
        <v>93</v>
      </c>
      <c r="E26" s="17" t="s">
        <v>86</v>
      </c>
      <c r="F26" s="15" t="s">
        <v>90</v>
      </c>
      <c r="G26" s="16"/>
    </row>
    <row r="27" ht="15.0" customHeight="1">
      <c r="A27" s="14" t="s">
        <v>94</v>
      </c>
      <c r="B27" s="15" t="s">
        <v>87</v>
      </c>
      <c r="C27" s="15" t="s">
        <v>49</v>
      </c>
      <c r="D27" s="16" t="s">
        <v>95</v>
      </c>
      <c r="E27" s="17" t="s">
        <v>96</v>
      </c>
      <c r="F27" s="15" t="s">
        <v>90</v>
      </c>
      <c r="G27" s="16"/>
    </row>
    <row r="28" ht="15.0" customHeight="1">
      <c r="A28" s="14" t="s">
        <v>97</v>
      </c>
      <c r="B28" s="15" t="s">
        <v>87</v>
      </c>
      <c r="C28" s="15" t="s">
        <v>44</v>
      </c>
      <c r="D28" s="16" t="s">
        <v>98</v>
      </c>
      <c r="E28" s="17" t="s">
        <v>72</v>
      </c>
      <c r="F28" s="15" t="s">
        <v>90</v>
      </c>
      <c r="G28" s="16"/>
    </row>
    <row r="29" ht="15.0" customHeight="1">
      <c r="A29" s="14" t="s">
        <v>99</v>
      </c>
      <c r="B29" s="15" t="s">
        <v>100</v>
      </c>
      <c r="C29" s="15" t="s">
        <v>49</v>
      </c>
      <c r="D29" s="16" t="s">
        <v>101</v>
      </c>
      <c r="E29" s="17" t="s">
        <v>102</v>
      </c>
      <c r="F29" s="15" t="s">
        <v>90</v>
      </c>
      <c r="G29" s="16"/>
    </row>
    <row r="30" ht="15.0" customHeight="1">
      <c r="A30" s="14" t="s">
        <v>103</v>
      </c>
      <c r="B30" s="15" t="s">
        <v>100</v>
      </c>
      <c r="C30" s="15" t="s">
        <v>44</v>
      </c>
      <c r="D30" s="16" t="s">
        <v>104</v>
      </c>
      <c r="E30" s="17" t="s">
        <v>84</v>
      </c>
      <c r="F30" s="15" t="s">
        <v>90</v>
      </c>
      <c r="G30" s="16"/>
    </row>
    <row r="31" ht="15.0" customHeight="1">
      <c r="A31" s="14" t="s">
        <v>105</v>
      </c>
      <c r="B31" s="15" t="s">
        <v>100</v>
      </c>
      <c r="C31" s="15" t="s">
        <v>49</v>
      </c>
      <c r="D31" s="16" t="s">
        <v>106</v>
      </c>
      <c r="E31" s="17" t="s">
        <v>103</v>
      </c>
      <c r="F31" s="15" t="s">
        <v>90</v>
      </c>
      <c r="G31" s="16"/>
    </row>
    <row r="32" ht="15.0" customHeight="1">
      <c r="A32" s="14" t="s">
        <v>107</v>
      </c>
      <c r="B32" s="15" t="s">
        <v>100</v>
      </c>
      <c r="C32" s="15" t="s">
        <v>44</v>
      </c>
      <c r="D32" s="16" t="s">
        <v>108</v>
      </c>
      <c r="E32" s="17" t="s">
        <v>84</v>
      </c>
      <c r="F32" s="15" t="s">
        <v>90</v>
      </c>
      <c r="G32" s="16"/>
    </row>
    <row r="33" ht="15.0" customHeight="1">
      <c r="A33" s="14" t="s">
        <v>109</v>
      </c>
      <c r="B33" s="15" t="s">
        <v>110</v>
      </c>
      <c r="C33" s="15" t="s">
        <v>44</v>
      </c>
      <c r="D33" s="16" t="s">
        <v>111</v>
      </c>
      <c r="E33" s="17" t="s">
        <v>72</v>
      </c>
      <c r="F33" s="15" t="s">
        <v>90</v>
      </c>
      <c r="G33" s="16"/>
    </row>
    <row r="34" ht="15.0" customHeight="1">
      <c r="A34" s="14" t="s">
        <v>112</v>
      </c>
      <c r="B34" s="15" t="s">
        <v>110</v>
      </c>
      <c r="C34" s="15" t="s">
        <v>49</v>
      </c>
      <c r="D34" s="16" t="s">
        <v>113</v>
      </c>
      <c r="E34" s="17" t="s">
        <v>109</v>
      </c>
      <c r="F34" s="15" t="s">
        <v>90</v>
      </c>
      <c r="G34" s="16"/>
    </row>
    <row r="35" ht="15.0" customHeight="1">
      <c r="A35" s="14" t="s">
        <v>114</v>
      </c>
      <c r="B35" s="15" t="s">
        <v>110</v>
      </c>
      <c r="C35" s="15" t="s">
        <v>44</v>
      </c>
      <c r="D35" s="16" t="s">
        <v>115</v>
      </c>
      <c r="E35" s="17" t="s">
        <v>72</v>
      </c>
      <c r="F35" s="15" t="s">
        <v>90</v>
      </c>
      <c r="G35" s="16"/>
    </row>
    <row r="36" ht="15.0" customHeight="1">
      <c r="A36" s="14" t="s">
        <v>116</v>
      </c>
      <c r="B36" s="15" t="s">
        <v>110</v>
      </c>
      <c r="C36" s="15" t="s">
        <v>49</v>
      </c>
      <c r="D36" s="16" t="s">
        <v>117</v>
      </c>
      <c r="E36" s="17" t="s">
        <v>114</v>
      </c>
      <c r="F36" s="15" t="s">
        <v>90</v>
      </c>
      <c r="G36" s="16"/>
    </row>
    <row r="37" ht="35.25" customHeight="1">
      <c r="A37" s="14" t="s">
        <v>118</v>
      </c>
      <c r="B37" s="15" t="s">
        <v>110</v>
      </c>
      <c r="C37" s="15" t="s">
        <v>119</v>
      </c>
      <c r="D37" s="16" t="s">
        <v>120</v>
      </c>
      <c r="E37" s="17" t="s">
        <v>121</v>
      </c>
      <c r="F37" s="15" t="s">
        <v>90</v>
      </c>
      <c r="G37" s="16" t="s">
        <v>122</v>
      </c>
    </row>
    <row r="38" ht="15.0" customHeight="1">
      <c r="A38" s="14" t="s">
        <v>123</v>
      </c>
      <c r="B38" s="15" t="s">
        <v>124</v>
      </c>
      <c r="C38" s="15" t="s">
        <v>44</v>
      </c>
      <c r="D38" s="16" t="s">
        <v>125</v>
      </c>
      <c r="E38" s="17" t="s">
        <v>72</v>
      </c>
      <c r="F38" s="15" t="s">
        <v>90</v>
      </c>
      <c r="G38" s="16"/>
    </row>
    <row r="39" ht="15.0" customHeight="1">
      <c r="A39" s="14" t="s">
        <v>126</v>
      </c>
      <c r="B39" s="15" t="s">
        <v>124</v>
      </c>
      <c r="C39" s="15" t="s">
        <v>49</v>
      </c>
      <c r="D39" s="16" t="s">
        <v>127</v>
      </c>
      <c r="E39" s="17" t="s">
        <v>123</v>
      </c>
      <c r="F39" s="15" t="s">
        <v>90</v>
      </c>
      <c r="G39" s="16"/>
    </row>
    <row r="40" ht="15.0" customHeight="1">
      <c r="A40" s="14" t="s">
        <v>128</v>
      </c>
      <c r="B40" s="15" t="s">
        <v>124</v>
      </c>
      <c r="C40" s="15" t="s">
        <v>44</v>
      </c>
      <c r="D40" s="16" t="s">
        <v>129</v>
      </c>
      <c r="E40" s="17" t="s">
        <v>123</v>
      </c>
      <c r="F40" s="15" t="s">
        <v>90</v>
      </c>
      <c r="G40" s="16"/>
    </row>
    <row r="41" ht="15.0" customHeight="1">
      <c r="A41" s="14" t="s">
        <v>130</v>
      </c>
      <c r="B41" s="15" t="s">
        <v>131</v>
      </c>
      <c r="C41" s="15" t="s">
        <v>38</v>
      </c>
      <c r="D41" s="16" t="s">
        <v>132</v>
      </c>
      <c r="E41" s="17" t="s">
        <v>123</v>
      </c>
      <c r="F41" s="15" t="s">
        <v>90</v>
      </c>
      <c r="G41" s="16"/>
    </row>
    <row r="42" ht="15.0" customHeight="1">
      <c r="A42" s="14" t="s">
        <v>133</v>
      </c>
      <c r="B42" s="15" t="s">
        <v>131</v>
      </c>
      <c r="C42" s="15" t="s">
        <v>44</v>
      </c>
      <c r="D42" s="16" t="s">
        <v>134</v>
      </c>
      <c r="E42" s="17" t="s">
        <v>130</v>
      </c>
      <c r="F42" s="15" t="s">
        <v>90</v>
      </c>
      <c r="G42" s="16"/>
    </row>
    <row r="43" ht="15.0" customHeight="1">
      <c r="A43" s="14" t="s">
        <v>135</v>
      </c>
      <c r="B43" s="15" t="s">
        <v>131</v>
      </c>
      <c r="C43" s="15" t="s">
        <v>49</v>
      </c>
      <c r="D43" s="16" t="s">
        <v>136</v>
      </c>
      <c r="E43" s="17" t="s">
        <v>133</v>
      </c>
      <c r="F43" s="15" t="s">
        <v>90</v>
      </c>
      <c r="G43" s="16"/>
    </row>
    <row r="44" ht="15.0" customHeight="1">
      <c r="A44" s="14" t="s">
        <v>137</v>
      </c>
      <c r="B44" s="15" t="s">
        <v>131</v>
      </c>
      <c r="C44" s="15" t="s">
        <v>33</v>
      </c>
      <c r="D44" s="16" t="s">
        <v>138</v>
      </c>
      <c r="E44" s="17" t="s">
        <v>139</v>
      </c>
      <c r="F44" s="15" t="s">
        <v>90</v>
      </c>
      <c r="G44" s="16" t="s">
        <v>140</v>
      </c>
    </row>
    <row r="45" ht="15.0" customHeight="1">
      <c r="A45" s="14" t="s">
        <v>141</v>
      </c>
      <c r="B45" s="15" t="s">
        <v>142</v>
      </c>
      <c r="C45" s="15" t="s">
        <v>33</v>
      </c>
      <c r="D45" s="16" t="s">
        <v>143</v>
      </c>
      <c r="E45" s="17" t="s">
        <v>137</v>
      </c>
      <c r="F45" s="15" t="s">
        <v>90</v>
      </c>
      <c r="G45" s="16"/>
    </row>
    <row r="46" ht="15.0" customHeight="1">
      <c r="A46" s="14" t="s">
        <v>144</v>
      </c>
      <c r="B46" s="15" t="s">
        <v>142</v>
      </c>
      <c r="C46" s="15" t="s">
        <v>38</v>
      </c>
      <c r="D46" s="16" t="s">
        <v>145</v>
      </c>
      <c r="E46" s="17" t="s">
        <v>137</v>
      </c>
      <c r="F46" s="15" t="s">
        <v>90</v>
      </c>
      <c r="G46" s="16"/>
    </row>
    <row r="47" ht="15.0" customHeight="1">
      <c r="A47" s="14" t="s">
        <v>146</v>
      </c>
      <c r="B47" s="15" t="s">
        <v>142</v>
      </c>
      <c r="C47" s="15" t="s">
        <v>33</v>
      </c>
      <c r="D47" s="16" t="s">
        <v>147</v>
      </c>
      <c r="E47" s="17" t="s">
        <v>148</v>
      </c>
      <c r="F47" s="15" t="s">
        <v>90</v>
      </c>
      <c r="G47" s="16"/>
    </row>
    <row r="48" ht="15.0" customHeight="1">
      <c r="A48" s="14" t="s">
        <v>149</v>
      </c>
      <c r="B48" s="15" t="s">
        <v>142</v>
      </c>
      <c r="C48" s="15" t="s">
        <v>33</v>
      </c>
      <c r="D48" s="16" t="s">
        <v>150</v>
      </c>
      <c r="E48" s="17" t="s">
        <v>151</v>
      </c>
      <c r="F48" s="15" t="s">
        <v>90</v>
      </c>
      <c r="G48" s="16"/>
    </row>
    <row r="49" ht="15.75" customHeight="1">
      <c r="A49" s="5"/>
      <c r="B49" s="5"/>
      <c r="C49" s="5"/>
      <c r="D49" s="5"/>
      <c r="E49" s="5"/>
      <c r="F49" s="5"/>
      <c r="G49" s="5"/>
    </row>
    <row r="50" ht="15.0" customHeight="1">
      <c r="A50" s="18" t="s">
        <v>152</v>
      </c>
      <c r="B50" s="19">
        <f>COUNTA(A5:A48)</f>
        <v>44</v>
      </c>
      <c r="C50" s="5"/>
      <c r="D50" s="5"/>
      <c r="E50" s="5"/>
      <c r="F50" s="5"/>
      <c r="G50" s="5"/>
    </row>
    <row r="51" ht="15.0" customHeight="1">
      <c r="A51" s="20" t="s">
        <v>36</v>
      </c>
      <c r="B51" s="5">
        <f>COUNTIF(F5:F48,"완료")</f>
        <v>16</v>
      </c>
      <c r="C51" s="5"/>
      <c r="D51" s="5"/>
      <c r="E51" s="5"/>
      <c r="F51" s="5"/>
      <c r="G51" s="5"/>
    </row>
    <row r="52" ht="15.0" customHeight="1">
      <c r="A52" s="20" t="s">
        <v>78</v>
      </c>
      <c r="B52" s="5">
        <f>COUNTIF(F5:F48,"진행")</f>
        <v>4</v>
      </c>
      <c r="C52" s="5"/>
      <c r="D52" s="5"/>
      <c r="E52" s="5"/>
      <c r="F52" s="5"/>
      <c r="G52" s="5"/>
    </row>
    <row r="53" ht="15.0" customHeight="1">
      <c r="A53" s="20" t="s">
        <v>90</v>
      </c>
      <c r="B53" s="5">
        <f>COUNTIF(F5:F48,"대기")</f>
        <v>24</v>
      </c>
      <c r="C53" s="5"/>
      <c r="D53" s="5"/>
      <c r="E53" s="5"/>
      <c r="F53" s="5"/>
      <c r="G53" s="5"/>
    </row>
    <row r="54" ht="15.0" customHeight="1">
      <c r="A54" s="18" t="s">
        <v>153</v>
      </c>
      <c r="B54" s="21" t="str">
        <f>TEXT(COUNTIF(F5:F48,"완료")/COUNTA(A5:A48),"0%")</f>
        <v>36%</v>
      </c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mergeCells count="2">
    <mergeCell ref="A1:G1"/>
    <mergeCell ref="A2:G2"/>
  </mergeCells>
  <conditionalFormatting sqref="F5:F48">
    <cfRule type="cellIs" dxfId="5" priority="1" operator="equal">
      <formula>"완료"</formula>
    </cfRule>
  </conditionalFormatting>
  <conditionalFormatting sqref="F5:F48">
    <cfRule type="cellIs" dxfId="6" priority="2" operator="equal">
      <formula>"진행"</formula>
    </cfRule>
  </conditionalFormatting>
  <conditionalFormatting sqref="F5:F48">
    <cfRule type="cellIs" dxfId="7" priority="3" operator="equal">
      <formula>"대기"</formula>
    </cfRule>
  </conditionalFormatting>
  <conditionalFormatting sqref="A5:G48">
    <cfRule type="expression" dxfId="8" priority="4">
      <formula>$F5="완료"</formula>
    </cfRule>
  </conditionalFormatting>
  <conditionalFormatting sqref="A5:G48">
    <cfRule type="expression" dxfId="9" priority="5">
      <formula>$F5="진행"</formula>
    </cfRule>
  </conditionalFormatting>
  <dataValidations>
    <dataValidation type="list" allowBlank="1" showDropDown="1" showErrorMessage="1" sqref="C5:C48">
      <formula1>"전원,PM,UX,백엔드,프론트,백엔드/프론트"</formula1>
    </dataValidation>
    <dataValidation type="list" allowBlank="1" sqref="F5:F48">
      <formula1>"완료,진행,대기"</formula1>
    </dataValidation>
    <dataValidation type="list" allowBlank="1" showDropDown="1" showErrorMessage="1" sqref="B5:B48">
      <formula1>"7/6,7/7,7/8,7/9,7/10,7/13,7/14,7/15,7/16,7/17"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13.14"/>
    <col customWidth="1" min="3" max="3" width="40.0"/>
    <col customWidth="1" min="4" max="7" width="9.0"/>
    <col customWidth="1" min="8" max="13" width="10.0"/>
    <col customWidth="1" min="14" max="26" width="8.71"/>
  </cols>
  <sheetData>
    <row r="1" ht="25.5" customHeight="1">
      <c r="A1" s="22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8.0" customHeight="1">
      <c r="A4" s="23" t="s">
        <v>24</v>
      </c>
      <c r="B4" s="24" t="s">
        <v>26</v>
      </c>
      <c r="C4" s="24" t="s">
        <v>27</v>
      </c>
      <c r="D4" s="23" t="s">
        <v>32</v>
      </c>
      <c r="E4" s="23" t="s">
        <v>52</v>
      </c>
      <c r="F4" s="23" t="s">
        <v>66</v>
      </c>
      <c r="G4" s="23" t="s">
        <v>75</v>
      </c>
      <c r="H4" s="23" t="s">
        <v>87</v>
      </c>
      <c r="I4" s="23" t="s">
        <v>100</v>
      </c>
      <c r="J4" s="23" t="s">
        <v>110</v>
      </c>
      <c r="K4" s="23" t="s">
        <v>124</v>
      </c>
      <c r="L4" s="23" t="s">
        <v>131</v>
      </c>
      <c r="M4" s="23" t="s">
        <v>142</v>
      </c>
    </row>
    <row r="5" ht="15.0" customHeight="1">
      <c r="A5" s="25" t="s">
        <v>31</v>
      </c>
      <c r="B5" s="26" t="s">
        <v>33</v>
      </c>
      <c r="C5" s="25" t="s">
        <v>34</v>
      </c>
      <c r="D5" s="27" t="s">
        <v>156</v>
      </c>
      <c r="E5" s="28"/>
      <c r="F5" s="28"/>
      <c r="G5" s="28"/>
      <c r="H5" s="28"/>
      <c r="I5" s="28"/>
      <c r="J5" s="28"/>
      <c r="K5" s="28"/>
      <c r="L5" s="28"/>
      <c r="M5" s="28"/>
    </row>
    <row r="6" ht="15.0" customHeight="1">
      <c r="A6" s="25" t="s">
        <v>37</v>
      </c>
      <c r="B6" s="26" t="s">
        <v>38</v>
      </c>
      <c r="C6" s="25" t="s">
        <v>39</v>
      </c>
      <c r="D6" s="29" t="s">
        <v>38</v>
      </c>
      <c r="E6" s="28"/>
      <c r="F6" s="28"/>
      <c r="G6" s="28"/>
      <c r="H6" s="28"/>
      <c r="I6" s="28"/>
      <c r="J6" s="28"/>
      <c r="K6" s="28"/>
      <c r="L6" s="28"/>
      <c r="M6" s="28"/>
    </row>
    <row r="7" ht="15.0" customHeight="1">
      <c r="A7" s="25" t="s">
        <v>40</v>
      </c>
      <c r="B7" s="26" t="s">
        <v>41</v>
      </c>
      <c r="C7" s="25" t="s">
        <v>42</v>
      </c>
      <c r="D7" s="30" t="s">
        <v>41</v>
      </c>
      <c r="E7" s="28"/>
      <c r="F7" s="28"/>
      <c r="G7" s="28"/>
      <c r="H7" s="28"/>
      <c r="I7" s="28"/>
      <c r="J7" s="28"/>
      <c r="K7" s="28"/>
      <c r="L7" s="28"/>
      <c r="M7" s="28"/>
    </row>
    <row r="8" ht="15.0" customHeight="1">
      <c r="A8" s="25" t="s">
        <v>43</v>
      </c>
      <c r="B8" s="26" t="s">
        <v>44</v>
      </c>
      <c r="C8" s="25" t="s">
        <v>45</v>
      </c>
      <c r="D8" s="31" t="s">
        <v>157</v>
      </c>
      <c r="E8" s="28"/>
      <c r="F8" s="28"/>
      <c r="G8" s="28"/>
      <c r="H8" s="28"/>
      <c r="I8" s="28"/>
      <c r="J8" s="28"/>
      <c r="K8" s="28"/>
      <c r="L8" s="28"/>
      <c r="M8" s="28"/>
    </row>
    <row r="9" ht="15.0" customHeight="1">
      <c r="A9" s="25" t="s">
        <v>46</v>
      </c>
      <c r="B9" s="26" t="s">
        <v>44</v>
      </c>
      <c r="C9" s="25" t="s">
        <v>47</v>
      </c>
      <c r="D9" s="31" t="s">
        <v>157</v>
      </c>
      <c r="E9" s="28"/>
      <c r="F9" s="28"/>
      <c r="G9" s="28"/>
      <c r="H9" s="28"/>
      <c r="I9" s="28"/>
      <c r="J9" s="28"/>
      <c r="K9" s="28"/>
      <c r="L9" s="28"/>
      <c r="M9" s="28"/>
    </row>
    <row r="10" ht="15.0" customHeight="1">
      <c r="A10" s="25" t="s">
        <v>48</v>
      </c>
      <c r="B10" s="26" t="s">
        <v>49</v>
      </c>
      <c r="C10" s="25" t="s">
        <v>50</v>
      </c>
      <c r="D10" s="32" t="s">
        <v>158</v>
      </c>
      <c r="E10" s="28"/>
      <c r="F10" s="28"/>
      <c r="G10" s="28"/>
      <c r="H10" s="28"/>
      <c r="I10" s="28"/>
      <c r="J10" s="28"/>
      <c r="K10" s="28"/>
      <c r="L10" s="28"/>
      <c r="M10" s="28"/>
    </row>
    <row r="11" ht="15.0" customHeight="1">
      <c r="A11" s="25" t="s">
        <v>51</v>
      </c>
      <c r="B11" s="26" t="s">
        <v>38</v>
      </c>
      <c r="C11" s="25" t="s">
        <v>53</v>
      </c>
      <c r="D11" s="28"/>
      <c r="E11" s="29" t="s">
        <v>38</v>
      </c>
      <c r="F11" s="28"/>
      <c r="G11" s="28"/>
      <c r="H11" s="28"/>
      <c r="I11" s="28"/>
      <c r="J11" s="28"/>
      <c r="K11" s="28"/>
      <c r="L11" s="28"/>
      <c r="M11" s="28"/>
    </row>
    <row r="12" ht="15.0" customHeight="1">
      <c r="A12" s="25" t="s">
        <v>54</v>
      </c>
      <c r="B12" s="26" t="s">
        <v>41</v>
      </c>
      <c r="C12" s="25" t="s">
        <v>55</v>
      </c>
      <c r="D12" s="28"/>
      <c r="E12" s="30" t="s">
        <v>41</v>
      </c>
      <c r="F12" s="28"/>
      <c r="G12" s="28"/>
      <c r="H12" s="28"/>
      <c r="I12" s="28"/>
      <c r="J12" s="28"/>
      <c r="K12" s="28"/>
      <c r="L12" s="28"/>
      <c r="M12" s="28"/>
    </row>
    <row r="13" ht="15.0" customHeight="1">
      <c r="A13" s="25" t="s">
        <v>57</v>
      </c>
      <c r="B13" s="26" t="s">
        <v>41</v>
      </c>
      <c r="C13" s="25" t="s">
        <v>58</v>
      </c>
      <c r="D13" s="28"/>
      <c r="E13" s="30" t="s">
        <v>41</v>
      </c>
      <c r="F13" s="28"/>
      <c r="G13" s="28"/>
      <c r="H13" s="28"/>
      <c r="I13" s="28"/>
      <c r="J13" s="28"/>
      <c r="K13" s="28"/>
      <c r="L13" s="28"/>
      <c r="M13" s="28"/>
    </row>
    <row r="14" ht="15.0" customHeight="1">
      <c r="A14" s="25" t="s">
        <v>59</v>
      </c>
      <c r="B14" s="26" t="s">
        <v>44</v>
      </c>
      <c r="C14" s="25" t="s">
        <v>60</v>
      </c>
      <c r="D14" s="28"/>
      <c r="E14" s="31" t="s">
        <v>157</v>
      </c>
      <c r="F14" s="28"/>
      <c r="G14" s="28"/>
      <c r="H14" s="28"/>
      <c r="I14" s="28"/>
      <c r="J14" s="28"/>
      <c r="K14" s="28"/>
      <c r="L14" s="28"/>
      <c r="M14" s="28"/>
    </row>
    <row r="15" ht="15.0" customHeight="1">
      <c r="A15" s="25" t="s">
        <v>61</v>
      </c>
      <c r="B15" s="26" t="s">
        <v>44</v>
      </c>
      <c r="C15" s="25" t="s">
        <v>62</v>
      </c>
      <c r="D15" s="28"/>
      <c r="E15" s="31" t="s">
        <v>157</v>
      </c>
      <c r="F15" s="28"/>
      <c r="G15" s="28"/>
      <c r="H15" s="28"/>
      <c r="I15" s="28"/>
      <c r="J15" s="28"/>
      <c r="K15" s="28"/>
      <c r="L15" s="28"/>
      <c r="M15" s="28"/>
    </row>
    <row r="16" ht="15.0" customHeight="1">
      <c r="A16" s="25" t="s">
        <v>63</v>
      </c>
      <c r="B16" s="26" t="s">
        <v>49</v>
      </c>
      <c r="C16" s="25" t="s">
        <v>64</v>
      </c>
      <c r="D16" s="28"/>
      <c r="E16" s="32" t="s">
        <v>158</v>
      </c>
      <c r="F16" s="28"/>
      <c r="G16" s="28"/>
      <c r="H16" s="28"/>
      <c r="I16" s="28"/>
      <c r="J16" s="28"/>
      <c r="K16" s="28"/>
      <c r="L16" s="28"/>
      <c r="M16" s="28"/>
    </row>
    <row r="17" ht="15.0" customHeight="1">
      <c r="A17" s="25" t="s">
        <v>65</v>
      </c>
      <c r="B17" s="26" t="s">
        <v>49</v>
      </c>
      <c r="C17" s="25" t="s">
        <v>67</v>
      </c>
      <c r="D17" s="28"/>
      <c r="E17" s="28"/>
      <c r="F17" s="32" t="s">
        <v>158</v>
      </c>
      <c r="G17" s="28"/>
      <c r="H17" s="28"/>
      <c r="I17" s="28"/>
      <c r="J17" s="28"/>
      <c r="K17" s="28"/>
      <c r="L17" s="28"/>
      <c r="M17" s="28"/>
    </row>
    <row r="18" ht="15.0" customHeight="1">
      <c r="A18" s="25" t="s">
        <v>68</v>
      </c>
      <c r="B18" s="26" t="s">
        <v>38</v>
      </c>
      <c r="C18" s="25" t="s">
        <v>69</v>
      </c>
      <c r="D18" s="28"/>
      <c r="E18" s="28"/>
      <c r="F18" s="29" t="s">
        <v>38</v>
      </c>
      <c r="G18" s="28"/>
      <c r="H18" s="28"/>
      <c r="I18" s="28"/>
      <c r="J18" s="28"/>
      <c r="K18" s="28"/>
      <c r="L18" s="28"/>
      <c r="M18" s="28"/>
    </row>
    <row r="19" ht="15.0" customHeight="1">
      <c r="A19" s="25" t="s">
        <v>70</v>
      </c>
      <c r="B19" s="26" t="s">
        <v>41</v>
      </c>
      <c r="C19" s="25" t="s">
        <v>71</v>
      </c>
      <c r="D19" s="28"/>
      <c r="E19" s="28"/>
      <c r="F19" s="30" t="s">
        <v>41</v>
      </c>
      <c r="G19" s="28"/>
      <c r="H19" s="28"/>
      <c r="I19" s="28"/>
      <c r="J19" s="28"/>
      <c r="K19" s="28"/>
      <c r="L19" s="28"/>
      <c r="M19" s="28"/>
    </row>
    <row r="20" ht="15.0" customHeight="1">
      <c r="A20" s="25" t="s">
        <v>72</v>
      </c>
      <c r="B20" s="26" t="s">
        <v>44</v>
      </c>
      <c r="C20" s="25" t="s">
        <v>73</v>
      </c>
      <c r="D20" s="28"/>
      <c r="E20" s="28"/>
      <c r="F20" s="31" t="s">
        <v>157</v>
      </c>
      <c r="G20" s="28"/>
      <c r="H20" s="28"/>
      <c r="I20" s="28"/>
      <c r="J20" s="28"/>
      <c r="K20" s="28"/>
      <c r="L20" s="28"/>
      <c r="M20" s="28"/>
    </row>
    <row r="21" ht="15.0" customHeight="1">
      <c r="A21" s="25" t="s">
        <v>74</v>
      </c>
      <c r="B21" s="26" t="s">
        <v>49</v>
      </c>
      <c r="C21" s="25" t="s">
        <v>76</v>
      </c>
      <c r="D21" s="28"/>
      <c r="E21" s="28"/>
      <c r="F21" s="28"/>
      <c r="G21" s="32" t="s">
        <v>158</v>
      </c>
      <c r="H21" s="28"/>
      <c r="I21" s="28"/>
      <c r="J21" s="28"/>
      <c r="K21" s="28"/>
      <c r="L21" s="28"/>
      <c r="M21" s="28"/>
    </row>
    <row r="22" ht="26.25" customHeight="1">
      <c r="A22" s="25" t="s">
        <v>79</v>
      </c>
      <c r="B22" s="26" t="s">
        <v>38</v>
      </c>
      <c r="C22" s="25" t="s">
        <v>80</v>
      </c>
      <c r="D22" s="28"/>
      <c r="E22" s="28"/>
      <c r="F22" s="28"/>
      <c r="G22" s="29" t="s">
        <v>38</v>
      </c>
      <c r="H22" s="28"/>
      <c r="I22" s="28"/>
      <c r="J22" s="28"/>
      <c r="K22" s="28"/>
      <c r="L22" s="28"/>
      <c r="M22" s="28"/>
    </row>
    <row r="23" ht="24.0" customHeight="1">
      <c r="A23" s="25" t="s">
        <v>82</v>
      </c>
      <c r="B23" s="26" t="s">
        <v>41</v>
      </c>
      <c r="C23" s="25" t="s">
        <v>83</v>
      </c>
      <c r="D23" s="28"/>
      <c r="E23" s="28"/>
      <c r="F23" s="28"/>
      <c r="G23" s="30" t="s">
        <v>41</v>
      </c>
      <c r="H23" s="28"/>
      <c r="I23" s="28"/>
      <c r="J23" s="28"/>
      <c r="K23" s="28"/>
      <c r="L23" s="28"/>
      <c r="M23" s="28"/>
    </row>
    <row r="24" ht="15.0" customHeight="1">
      <c r="A24" s="25" t="s">
        <v>84</v>
      </c>
      <c r="B24" s="26" t="s">
        <v>44</v>
      </c>
      <c r="C24" s="25" t="s">
        <v>85</v>
      </c>
      <c r="D24" s="28"/>
      <c r="E24" s="28"/>
      <c r="F24" s="28"/>
      <c r="G24" s="31" t="s">
        <v>157</v>
      </c>
      <c r="H24" s="28"/>
      <c r="I24" s="28"/>
      <c r="J24" s="28"/>
      <c r="K24" s="28"/>
      <c r="L24" s="28"/>
      <c r="M24" s="28"/>
    </row>
    <row r="25" ht="15.0" customHeight="1">
      <c r="A25" s="25" t="s">
        <v>86</v>
      </c>
      <c r="B25" s="26" t="s">
        <v>44</v>
      </c>
      <c r="C25" s="25" t="s">
        <v>88</v>
      </c>
      <c r="D25" s="28"/>
      <c r="E25" s="28"/>
      <c r="F25" s="28"/>
      <c r="G25" s="28"/>
      <c r="H25" s="31" t="s">
        <v>157</v>
      </c>
      <c r="I25" s="28"/>
      <c r="J25" s="28"/>
      <c r="K25" s="28"/>
      <c r="L25" s="28"/>
      <c r="M25" s="28"/>
    </row>
    <row r="26" ht="15.0" customHeight="1">
      <c r="A26" s="25" t="s">
        <v>92</v>
      </c>
      <c r="B26" s="26" t="s">
        <v>44</v>
      </c>
      <c r="C26" s="25" t="s">
        <v>93</v>
      </c>
      <c r="D26" s="28"/>
      <c r="E26" s="28"/>
      <c r="F26" s="28"/>
      <c r="G26" s="28"/>
      <c r="H26" s="31" t="s">
        <v>157</v>
      </c>
      <c r="I26" s="28"/>
      <c r="J26" s="28"/>
      <c r="K26" s="28"/>
      <c r="L26" s="28"/>
      <c r="M26" s="28"/>
    </row>
    <row r="27" ht="15.0" customHeight="1">
      <c r="A27" s="25" t="s">
        <v>94</v>
      </c>
      <c r="B27" s="26" t="s">
        <v>49</v>
      </c>
      <c r="C27" s="25" t="s">
        <v>95</v>
      </c>
      <c r="D27" s="28"/>
      <c r="E27" s="28"/>
      <c r="F27" s="28"/>
      <c r="G27" s="28"/>
      <c r="H27" s="32" t="s">
        <v>158</v>
      </c>
      <c r="I27" s="28"/>
      <c r="J27" s="28"/>
      <c r="K27" s="28"/>
      <c r="L27" s="28"/>
      <c r="M27" s="28"/>
    </row>
    <row r="28" ht="15.0" customHeight="1">
      <c r="A28" s="25" t="s">
        <v>97</v>
      </c>
      <c r="B28" s="26" t="s">
        <v>44</v>
      </c>
      <c r="C28" s="25" t="s">
        <v>98</v>
      </c>
      <c r="D28" s="28"/>
      <c r="E28" s="28"/>
      <c r="F28" s="28"/>
      <c r="G28" s="28"/>
      <c r="H28" s="31" t="s">
        <v>157</v>
      </c>
      <c r="I28" s="28"/>
      <c r="J28" s="28"/>
      <c r="K28" s="28"/>
      <c r="L28" s="28"/>
      <c r="M28" s="28"/>
    </row>
    <row r="29" ht="15.0" customHeight="1">
      <c r="A29" s="25" t="s">
        <v>99</v>
      </c>
      <c r="B29" s="26" t="s">
        <v>49</v>
      </c>
      <c r="C29" s="25" t="s">
        <v>101</v>
      </c>
      <c r="D29" s="28"/>
      <c r="E29" s="28"/>
      <c r="F29" s="28"/>
      <c r="G29" s="28"/>
      <c r="H29" s="28"/>
      <c r="I29" s="32" t="s">
        <v>158</v>
      </c>
      <c r="J29" s="28"/>
      <c r="K29" s="28"/>
      <c r="L29" s="28"/>
      <c r="M29" s="28"/>
    </row>
    <row r="30" ht="15.0" customHeight="1">
      <c r="A30" s="25" t="s">
        <v>103</v>
      </c>
      <c r="B30" s="26" t="s">
        <v>44</v>
      </c>
      <c r="C30" s="25" t="s">
        <v>104</v>
      </c>
      <c r="D30" s="28"/>
      <c r="E30" s="28"/>
      <c r="F30" s="28"/>
      <c r="G30" s="28"/>
      <c r="H30" s="28"/>
      <c r="I30" s="31" t="s">
        <v>157</v>
      </c>
      <c r="J30" s="28"/>
      <c r="K30" s="28"/>
      <c r="L30" s="28"/>
      <c r="M30" s="28"/>
    </row>
    <row r="31" ht="15.0" customHeight="1">
      <c r="A31" s="25" t="s">
        <v>105</v>
      </c>
      <c r="B31" s="26" t="s">
        <v>49</v>
      </c>
      <c r="C31" s="25" t="s">
        <v>106</v>
      </c>
      <c r="D31" s="28"/>
      <c r="E31" s="28"/>
      <c r="F31" s="28"/>
      <c r="G31" s="28"/>
      <c r="H31" s="28"/>
      <c r="I31" s="32" t="s">
        <v>158</v>
      </c>
      <c r="J31" s="28"/>
      <c r="K31" s="28"/>
      <c r="L31" s="28"/>
      <c r="M31" s="28"/>
    </row>
    <row r="32" ht="15.0" customHeight="1">
      <c r="A32" s="25" t="s">
        <v>107</v>
      </c>
      <c r="B32" s="26" t="s">
        <v>44</v>
      </c>
      <c r="C32" s="25" t="s">
        <v>108</v>
      </c>
      <c r="D32" s="28"/>
      <c r="E32" s="28"/>
      <c r="F32" s="28"/>
      <c r="G32" s="28"/>
      <c r="H32" s="28"/>
      <c r="I32" s="31" t="s">
        <v>157</v>
      </c>
      <c r="J32" s="28"/>
      <c r="K32" s="28"/>
      <c r="L32" s="28"/>
      <c r="M32" s="28"/>
    </row>
    <row r="33" ht="15.0" customHeight="1">
      <c r="A33" s="25" t="s">
        <v>109</v>
      </c>
      <c r="B33" s="26" t="s">
        <v>44</v>
      </c>
      <c r="C33" s="25" t="s">
        <v>111</v>
      </c>
      <c r="D33" s="28"/>
      <c r="E33" s="28"/>
      <c r="F33" s="28"/>
      <c r="G33" s="28"/>
      <c r="H33" s="28"/>
      <c r="I33" s="28"/>
      <c r="J33" s="31" t="s">
        <v>157</v>
      </c>
      <c r="K33" s="28"/>
      <c r="L33" s="28"/>
      <c r="M33" s="28"/>
    </row>
    <row r="34" ht="15.0" customHeight="1">
      <c r="A34" s="25" t="s">
        <v>112</v>
      </c>
      <c r="B34" s="26" t="s">
        <v>49</v>
      </c>
      <c r="C34" s="25" t="s">
        <v>113</v>
      </c>
      <c r="D34" s="28"/>
      <c r="E34" s="28"/>
      <c r="F34" s="28"/>
      <c r="G34" s="28"/>
      <c r="H34" s="28"/>
      <c r="I34" s="28"/>
      <c r="J34" s="32" t="s">
        <v>158</v>
      </c>
      <c r="K34" s="28"/>
      <c r="L34" s="28"/>
      <c r="M34" s="28"/>
    </row>
    <row r="35" ht="15.0" customHeight="1">
      <c r="A35" s="25" t="s">
        <v>114</v>
      </c>
      <c r="B35" s="26" t="s">
        <v>44</v>
      </c>
      <c r="C35" s="25" t="s">
        <v>115</v>
      </c>
      <c r="D35" s="28"/>
      <c r="E35" s="28"/>
      <c r="F35" s="28"/>
      <c r="G35" s="28"/>
      <c r="H35" s="28"/>
      <c r="I35" s="28"/>
      <c r="J35" s="31" t="s">
        <v>157</v>
      </c>
      <c r="K35" s="28"/>
      <c r="L35" s="28"/>
      <c r="M35" s="28"/>
    </row>
    <row r="36" ht="15.0" customHeight="1">
      <c r="A36" s="25" t="s">
        <v>116</v>
      </c>
      <c r="B36" s="26" t="s">
        <v>49</v>
      </c>
      <c r="C36" s="25" t="s">
        <v>117</v>
      </c>
      <c r="D36" s="28"/>
      <c r="E36" s="28"/>
      <c r="F36" s="28"/>
      <c r="G36" s="28"/>
      <c r="H36" s="28"/>
      <c r="I36" s="28"/>
      <c r="J36" s="32" t="s">
        <v>158</v>
      </c>
      <c r="K36" s="28"/>
      <c r="L36" s="28"/>
      <c r="M36" s="28"/>
    </row>
    <row r="37" ht="27.0" customHeight="1">
      <c r="A37" s="25" t="s">
        <v>118</v>
      </c>
      <c r="B37" s="26" t="s">
        <v>119</v>
      </c>
      <c r="C37" s="25" t="s">
        <v>120</v>
      </c>
      <c r="D37" s="28"/>
      <c r="E37" s="28"/>
      <c r="F37" s="28"/>
      <c r="G37" s="28"/>
      <c r="H37" s="28"/>
      <c r="I37" s="28"/>
      <c r="J37" s="33" t="s">
        <v>159</v>
      </c>
      <c r="K37" s="28"/>
      <c r="L37" s="28"/>
      <c r="M37" s="28"/>
    </row>
    <row r="38" ht="15.0" customHeight="1">
      <c r="A38" s="25" t="s">
        <v>123</v>
      </c>
      <c r="B38" s="26" t="s">
        <v>44</v>
      </c>
      <c r="C38" s="25" t="s">
        <v>125</v>
      </c>
      <c r="D38" s="28"/>
      <c r="E38" s="28"/>
      <c r="F38" s="28"/>
      <c r="G38" s="28"/>
      <c r="H38" s="28"/>
      <c r="I38" s="28"/>
      <c r="J38" s="28"/>
      <c r="K38" s="31" t="s">
        <v>157</v>
      </c>
      <c r="L38" s="28"/>
      <c r="M38" s="28"/>
    </row>
    <row r="39" ht="15.0" customHeight="1">
      <c r="A39" s="25" t="s">
        <v>126</v>
      </c>
      <c r="B39" s="26" t="s">
        <v>49</v>
      </c>
      <c r="C39" s="25" t="s">
        <v>127</v>
      </c>
      <c r="D39" s="28"/>
      <c r="E39" s="28"/>
      <c r="F39" s="28"/>
      <c r="G39" s="28"/>
      <c r="H39" s="28"/>
      <c r="I39" s="28"/>
      <c r="J39" s="28"/>
      <c r="K39" s="32" t="s">
        <v>158</v>
      </c>
      <c r="L39" s="28"/>
      <c r="M39" s="28"/>
    </row>
    <row r="40" ht="15.0" customHeight="1">
      <c r="A40" s="25" t="s">
        <v>128</v>
      </c>
      <c r="B40" s="26" t="s">
        <v>44</v>
      </c>
      <c r="C40" s="25" t="s">
        <v>129</v>
      </c>
      <c r="D40" s="28"/>
      <c r="E40" s="28"/>
      <c r="F40" s="28"/>
      <c r="G40" s="28"/>
      <c r="H40" s="28"/>
      <c r="I40" s="28"/>
      <c r="J40" s="28"/>
      <c r="K40" s="31" t="s">
        <v>157</v>
      </c>
      <c r="L40" s="28"/>
      <c r="M40" s="28"/>
    </row>
    <row r="41" ht="15.0" customHeight="1">
      <c r="A41" s="25" t="s">
        <v>130</v>
      </c>
      <c r="B41" s="26" t="s">
        <v>38</v>
      </c>
      <c r="C41" s="25" t="s">
        <v>132</v>
      </c>
      <c r="D41" s="28"/>
      <c r="E41" s="28"/>
      <c r="F41" s="28"/>
      <c r="G41" s="28"/>
      <c r="H41" s="28"/>
      <c r="I41" s="28"/>
      <c r="J41" s="28"/>
      <c r="K41" s="28"/>
      <c r="L41" s="29" t="s">
        <v>38</v>
      </c>
      <c r="M41" s="28"/>
    </row>
    <row r="42" ht="15.0" customHeight="1">
      <c r="A42" s="25" t="s">
        <v>133</v>
      </c>
      <c r="B42" s="26" t="s">
        <v>44</v>
      </c>
      <c r="C42" s="25" t="s">
        <v>134</v>
      </c>
      <c r="D42" s="28"/>
      <c r="E42" s="28"/>
      <c r="F42" s="28"/>
      <c r="G42" s="28"/>
      <c r="H42" s="28"/>
      <c r="I42" s="28"/>
      <c r="J42" s="28"/>
      <c r="K42" s="28"/>
      <c r="L42" s="31" t="s">
        <v>157</v>
      </c>
      <c r="M42" s="28"/>
    </row>
    <row r="43" ht="15.0" customHeight="1">
      <c r="A43" s="25" t="s">
        <v>135</v>
      </c>
      <c r="B43" s="26" t="s">
        <v>49</v>
      </c>
      <c r="C43" s="25" t="s">
        <v>136</v>
      </c>
      <c r="D43" s="28"/>
      <c r="E43" s="28"/>
      <c r="F43" s="28"/>
      <c r="G43" s="28"/>
      <c r="H43" s="28"/>
      <c r="I43" s="28"/>
      <c r="J43" s="28"/>
      <c r="K43" s="28"/>
      <c r="L43" s="32" t="s">
        <v>158</v>
      </c>
      <c r="M43" s="28"/>
    </row>
    <row r="44" ht="15.0" customHeight="1">
      <c r="A44" s="25" t="s">
        <v>137</v>
      </c>
      <c r="B44" s="26" t="s">
        <v>33</v>
      </c>
      <c r="C44" s="25" t="s">
        <v>138</v>
      </c>
      <c r="D44" s="28"/>
      <c r="E44" s="28"/>
      <c r="F44" s="28"/>
      <c r="G44" s="28"/>
      <c r="H44" s="28"/>
      <c r="I44" s="28"/>
      <c r="J44" s="28"/>
      <c r="K44" s="28"/>
      <c r="L44" s="27" t="s">
        <v>156</v>
      </c>
      <c r="M44" s="28"/>
    </row>
    <row r="45" ht="15.0" customHeight="1">
      <c r="A45" s="25" t="s">
        <v>141</v>
      </c>
      <c r="B45" s="26" t="s">
        <v>33</v>
      </c>
      <c r="C45" s="25" t="s">
        <v>143</v>
      </c>
      <c r="D45" s="28"/>
      <c r="E45" s="28"/>
      <c r="F45" s="28"/>
      <c r="G45" s="28"/>
      <c r="H45" s="28"/>
      <c r="I45" s="28"/>
      <c r="J45" s="28"/>
      <c r="K45" s="28"/>
      <c r="L45" s="28"/>
      <c r="M45" s="27" t="s">
        <v>156</v>
      </c>
    </row>
    <row r="46" ht="15.0" customHeight="1">
      <c r="A46" s="25" t="s">
        <v>144</v>
      </c>
      <c r="B46" s="26" t="s">
        <v>38</v>
      </c>
      <c r="C46" s="25" t="s">
        <v>145</v>
      </c>
      <c r="D46" s="28"/>
      <c r="E46" s="28"/>
      <c r="F46" s="28"/>
      <c r="G46" s="28"/>
      <c r="H46" s="28"/>
      <c r="I46" s="28"/>
      <c r="J46" s="28"/>
      <c r="K46" s="28"/>
      <c r="L46" s="28"/>
      <c r="M46" s="29" t="s">
        <v>38</v>
      </c>
    </row>
    <row r="47" ht="15.0" customHeight="1">
      <c r="A47" s="25" t="s">
        <v>146</v>
      </c>
      <c r="B47" s="26" t="s">
        <v>33</v>
      </c>
      <c r="C47" s="25" t="s">
        <v>147</v>
      </c>
      <c r="D47" s="28"/>
      <c r="E47" s="28"/>
      <c r="F47" s="28"/>
      <c r="G47" s="28"/>
      <c r="H47" s="28"/>
      <c r="I47" s="28"/>
      <c r="J47" s="28"/>
      <c r="K47" s="28"/>
      <c r="L47" s="28"/>
      <c r="M47" s="27" t="s">
        <v>156</v>
      </c>
    </row>
    <row r="48" ht="15.0" customHeight="1">
      <c r="A48" s="25" t="s">
        <v>149</v>
      </c>
      <c r="B48" s="26" t="s">
        <v>33</v>
      </c>
      <c r="C48" s="25" t="s">
        <v>150</v>
      </c>
      <c r="D48" s="28"/>
      <c r="E48" s="28"/>
      <c r="F48" s="28"/>
      <c r="G48" s="28"/>
      <c r="H48" s="28"/>
      <c r="I48" s="28"/>
      <c r="J48" s="28"/>
      <c r="K48" s="28"/>
      <c r="L48" s="28"/>
      <c r="M48" s="27" t="s">
        <v>156</v>
      </c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mergeCells count="2">
    <mergeCell ref="A1:M1"/>
    <mergeCell ref="A2:M2"/>
  </mergeCells>
  <dataValidations>
    <dataValidation type="list" allowBlank="1" showDropDown="1" showErrorMessage="1" sqref="B5:B48">
      <formula1>"전원,PM,UX,백엔드,프론트,백엔드/프론트"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10.0"/>
    <col customWidth="1" min="4" max="4" width="9.43"/>
    <col customWidth="1" min="5" max="14" width="6.0"/>
    <col customWidth="1" min="15" max="26" width="8.71"/>
  </cols>
  <sheetData>
    <row r="1" ht="25.5" customHeight="1">
      <c r="A1" s="22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7.75" customHeight="1">
      <c r="A2" s="4" t="s">
        <v>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ht="18.0" customHeight="1">
      <c r="A4" s="23" t="s">
        <v>24</v>
      </c>
      <c r="B4" s="24" t="s">
        <v>27</v>
      </c>
      <c r="C4" s="24" t="s">
        <v>26</v>
      </c>
      <c r="D4" s="24" t="s">
        <v>29</v>
      </c>
      <c r="E4" s="34" t="s">
        <v>32</v>
      </c>
      <c r="F4" s="34" t="s">
        <v>52</v>
      </c>
      <c r="G4" s="34" t="s">
        <v>66</v>
      </c>
      <c r="H4" s="34" t="s">
        <v>75</v>
      </c>
      <c r="I4" s="34" t="s">
        <v>87</v>
      </c>
      <c r="J4" s="34" t="s">
        <v>100</v>
      </c>
      <c r="K4" s="34" t="s">
        <v>110</v>
      </c>
      <c r="L4" s="34" t="s">
        <v>124</v>
      </c>
      <c r="M4" s="34" t="s">
        <v>131</v>
      </c>
      <c r="N4" s="34" t="s">
        <v>142</v>
      </c>
    </row>
    <row r="5" ht="40.5" customHeight="1">
      <c r="A5" s="35" t="str">
        <f>'체크리스트'!A5</f>
        <v>T1</v>
      </c>
      <c r="B5" s="36" t="str">
        <f>'체크리스트'!D5</f>
        <v>킥오프 — 목표·범위·공통데이터 합의</v>
      </c>
      <c r="C5" s="35" t="str">
        <f>'체크리스트'!C5</f>
        <v>전원</v>
      </c>
      <c r="D5" s="35" t="str">
        <f>'체크리스트'!F5</f>
        <v>완료</v>
      </c>
      <c r="E5" s="37">
        <f>IF(TEXT(E$4,"m/d")='체크리스트'!B5,1,"")</f>
        <v>1</v>
      </c>
      <c r="F5" s="37" t="str">
        <f>IF(TEXT(F$4,"m/d")='체크리스트'!B5,1,"")</f>
        <v/>
      </c>
      <c r="G5" s="37" t="str">
        <f>IF(TEXT(G$4,"m/d")='체크리스트'!B5,1,"")</f>
        <v/>
      </c>
      <c r="H5" s="37" t="str">
        <f>IF(TEXT(H$4,"m/d")='체크리스트'!B5,1,"")</f>
        <v/>
      </c>
      <c r="I5" s="37" t="str">
        <f>IF(TEXT(I$4,"m/d")='체크리스트'!B5,1,"")</f>
        <v/>
      </c>
      <c r="J5" s="37" t="str">
        <f>IF(TEXT(J$4,"m/d")='체크리스트'!B5,1,"")</f>
        <v/>
      </c>
      <c r="K5" s="37" t="str">
        <f>IF(TEXT(K$4,"m/d")='체크리스트'!B5,1,"")</f>
        <v/>
      </c>
      <c r="L5" s="37" t="str">
        <f>IF(TEXT(L$4,"m/d")='체크리스트'!B5,1,"")</f>
        <v/>
      </c>
      <c r="M5" s="37" t="str">
        <f>IF(TEXT(M$4,"m/d")='체크리스트'!B5,1,"")</f>
        <v/>
      </c>
      <c r="N5" s="37" t="str">
        <f>IF(TEXT(N$4,"m/d")='체크리스트'!B5,1,"")</f>
        <v/>
      </c>
    </row>
    <row r="6" ht="40.5" customHeight="1">
      <c r="A6" s="35" t="str">
        <f>'체크리스트'!A6</f>
        <v>T2</v>
      </c>
      <c r="B6" s="36" t="str">
        <f>'체크리스트'!D6</f>
        <v>공공데이터·지도 API 신청/승인 요청</v>
      </c>
      <c r="C6" s="35" t="str">
        <f>'체크리스트'!C6</f>
        <v>PM</v>
      </c>
      <c r="D6" s="35" t="str">
        <f>'체크리스트'!F6</f>
        <v>완료</v>
      </c>
      <c r="E6" s="37">
        <f>IF(TEXT(E$4,"m/d")='체크리스트'!B6,1,"")</f>
        <v>1</v>
      </c>
      <c r="F6" s="37" t="str">
        <f>IF(TEXT(F$4,"m/d")='체크리스트'!B6,1,"")</f>
        <v/>
      </c>
      <c r="G6" s="37" t="str">
        <f>IF(TEXT(G$4,"m/d")='체크리스트'!B6,1,"")</f>
        <v/>
      </c>
      <c r="H6" s="37" t="str">
        <f>IF(TEXT(H$4,"m/d")='체크리스트'!B6,1,"")</f>
        <v/>
      </c>
      <c r="I6" s="37" t="str">
        <f>IF(TEXT(I$4,"m/d")='체크리스트'!B6,1,"")</f>
        <v/>
      </c>
      <c r="J6" s="37" t="str">
        <f>IF(TEXT(J$4,"m/d")='체크리스트'!B6,1,"")</f>
        <v/>
      </c>
      <c r="K6" s="37" t="str">
        <f>IF(TEXT(K$4,"m/d")='체크리스트'!B6,1,"")</f>
        <v/>
      </c>
      <c r="L6" s="37" t="str">
        <f>IF(TEXT(L$4,"m/d")='체크리스트'!B6,1,"")</f>
        <v/>
      </c>
      <c r="M6" s="37" t="str">
        <f>IF(TEXT(M$4,"m/d")='체크리스트'!B6,1,"")</f>
        <v/>
      </c>
      <c r="N6" s="37" t="str">
        <f>IF(TEXT(N$4,"m/d")='체크리스트'!B6,1,"")</f>
        <v/>
      </c>
    </row>
    <row r="7" ht="40.5" customHeight="1">
      <c r="A7" s="35" t="str">
        <f>'체크리스트'!A7</f>
        <v>T3</v>
      </c>
      <c r="B7" s="36" t="str">
        <f>'체크리스트'!D7</f>
        <v>페르소나 3종 초안(가족/친구/커플)</v>
      </c>
      <c r="C7" s="35" t="str">
        <f>'체크리스트'!C7</f>
        <v>UX</v>
      </c>
      <c r="D7" s="35" t="str">
        <f>'체크리스트'!F7</f>
        <v>완료</v>
      </c>
      <c r="E7" s="37">
        <f>IF(TEXT(E$4,"m/d")='체크리스트'!B7,1,"")</f>
        <v>1</v>
      </c>
      <c r="F7" s="37" t="str">
        <f>IF(TEXT(F$4,"m/d")='체크리스트'!B7,1,"")</f>
        <v/>
      </c>
      <c r="G7" s="37" t="str">
        <f>IF(TEXT(G$4,"m/d")='체크리스트'!B7,1,"")</f>
        <v/>
      </c>
      <c r="H7" s="37" t="str">
        <f>IF(TEXT(H$4,"m/d")='체크리스트'!B7,1,"")</f>
        <v/>
      </c>
      <c r="I7" s="37" t="str">
        <f>IF(TEXT(I$4,"m/d")='체크리스트'!B7,1,"")</f>
        <v/>
      </c>
      <c r="J7" s="37" t="str">
        <f>IF(TEXT(J$4,"m/d")='체크리스트'!B7,1,"")</f>
        <v/>
      </c>
      <c r="K7" s="37" t="str">
        <f>IF(TEXT(K$4,"m/d")='체크리스트'!B7,1,"")</f>
        <v/>
      </c>
      <c r="L7" s="37" t="str">
        <f>IF(TEXT(L$4,"m/d")='체크리스트'!B7,1,"")</f>
        <v/>
      </c>
      <c r="M7" s="37" t="str">
        <f>IF(TEXT(M$4,"m/d")='체크리스트'!B7,1,"")</f>
        <v/>
      </c>
      <c r="N7" s="37" t="str">
        <f>IF(TEXT(N$4,"m/d")='체크리스트'!B7,1,"")</f>
        <v/>
      </c>
    </row>
    <row r="8" ht="40.5" customHeight="1">
      <c r="A8" s="35" t="str">
        <f>'체크리스트'!A8</f>
        <v>T4</v>
      </c>
      <c r="B8" s="36" t="str">
        <f>'체크리스트'!D8</f>
        <v>LLM API·개발환경(Colab/Streamlit) 세팅</v>
      </c>
      <c r="C8" s="35" t="str">
        <f>'체크리스트'!C8</f>
        <v>백엔드</v>
      </c>
      <c r="D8" s="35" t="str">
        <f>'체크리스트'!F8</f>
        <v>완료</v>
      </c>
      <c r="E8" s="37">
        <f>IF(TEXT(E$4,"m/d")='체크리스트'!B8,1,"")</f>
        <v>1</v>
      </c>
      <c r="F8" s="37" t="str">
        <f>IF(TEXT(F$4,"m/d")='체크리스트'!B8,1,"")</f>
        <v/>
      </c>
      <c r="G8" s="37" t="str">
        <f>IF(TEXT(G$4,"m/d")='체크리스트'!B8,1,"")</f>
        <v/>
      </c>
      <c r="H8" s="37" t="str">
        <f>IF(TEXT(H$4,"m/d")='체크리스트'!B8,1,"")</f>
        <v/>
      </c>
      <c r="I8" s="37" t="str">
        <f>IF(TEXT(I$4,"m/d")='체크리스트'!B8,1,"")</f>
        <v/>
      </c>
      <c r="J8" s="37" t="str">
        <f>IF(TEXT(J$4,"m/d")='체크리스트'!B8,1,"")</f>
        <v/>
      </c>
      <c r="K8" s="37" t="str">
        <f>IF(TEXT(K$4,"m/d")='체크리스트'!B8,1,"")</f>
        <v/>
      </c>
      <c r="L8" s="37" t="str">
        <f>IF(TEXT(L$4,"m/d")='체크리스트'!B8,1,"")</f>
        <v/>
      </c>
      <c r="M8" s="37" t="str">
        <f>IF(TEXT(M$4,"m/d")='체크리스트'!B8,1,"")</f>
        <v/>
      </c>
      <c r="N8" s="37" t="str">
        <f>IF(TEXT(N$4,"m/d")='체크리스트'!B8,1,"")</f>
        <v/>
      </c>
    </row>
    <row r="9" ht="40.5" customHeight="1">
      <c r="A9" s="35" t="str">
        <f>'체크리스트'!A9</f>
        <v>T5</v>
      </c>
      <c r="B9" s="36" t="str">
        <f>'체크리스트'!D9</f>
        <v>관광 공공데이터 CSV 다운로드 착수</v>
      </c>
      <c r="C9" s="35" t="str">
        <f>'체크리스트'!C9</f>
        <v>백엔드</v>
      </c>
      <c r="D9" s="35" t="str">
        <f>'체크리스트'!F9</f>
        <v>완료</v>
      </c>
      <c r="E9" s="37">
        <f>IF(TEXT(E$4,"m/d")='체크리스트'!B9,1,"")</f>
        <v>1</v>
      </c>
      <c r="F9" s="37" t="str">
        <f>IF(TEXT(F$4,"m/d")='체크리스트'!B9,1,"")</f>
        <v/>
      </c>
      <c r="G9" s="37" t="str">
        <f>IF(TEXT(G$4,"m/d")='체크리스트'!B9,1,"")</f>
        <v/>
      </c>
      <c r="H9" s="37" t="str">
        <f>IF(TEXT(H$4,"m/d")='체크리스트'!B9,1,"")</f>
        <v/>
      </c>
      <c r="I9" s="37" t="str">
        <f>IF(TEXT(I$4,"m/d")='체크리스트'!B9,1,"")</f>
        <v/>
      </c>
      <c r="J9" s="37" t="str">
        <f>IF(TEXT(J$4,"m/d")='체크리스트'!B9,1,"")</f>
        <v/>
      </c>
      <c r="K9" s="37" t="str">
        <f>IF(TEXT(K$4,"m/d")='체크리스트'!B9,1,"")</f>
        <v/>
      </c>
      <c r="L9" s="37" t="str">
        <f>IF(TEXT(L$4,"m/d")='체크리스트'!B9,1,"")</f>
        <v/>
      </c>
      <c r="M9" s="37" t="str">
        <f>IF(TEXT(M$4,"m/d")='체크리스트'!B9,1,"")</f>
        <v/>
      </c>
      <c r="N9" s="37" t="str">
        <f>IF(TEXT(N$4,"m/d")='체크리스트'!B9,1,"")</f>
        <v/>
      </c>
    </row>
    <row r="10" ht="40.5" customHeight="1">
      <c r="A10" s="35" t="str">
        <f>'체크리스트'!A10</f>
        <v>T6</v>
      </c>
      <c r="B10" s="36" t="str">
        <f>'체크리스트'!D10</f>
        <v>Gradio/Streamlit 세팅·UI 레퍼런스 조사</v>
      </c>
      <c r="C10" s="35" t="str">
        <f>'체크리스트'!C10</f>
        <v>프론트</v>
      </c>
      <c r="D10" s="35" t="str">
        <f>'체크리스트'!F10</f>
        <v>완료</v>
      </c>
      <c r="E10" s="37">
        <f>IF(TEXT(E$4,"m/d")='체크리스트'!B10,1,"")</f>
        <v>1</v>
      </c>
      <c r="F10" s="37" t="str">
        <f>IF(TEXT(F$4,"m/d")='체크리스트'!B10,1,"")</f>
        <v/>
      </c>
      <c r="G10" s="37" t="str">
        <f>IF(TEXT(G$4,"m/d")='체크리스트'!B10,1,"")</f>
        <v/>
      </c>
      <c r="H10" s="37" t="str">
        <f>IF(TEXT(H$4,"m/d")='체크리스트'!B10,1,"")</f>
        <v/>
      </c>
      <c r="I10" s="37" t="str">
        <f>IF(TEXT(I$4,"m/d")='체크리스트'!B10,1,"")</f>
        <v/>
      </c>
      <c r="J10" s="37" t="str">
        <f>IF(TEXT(J$4,"m/d")='체크리스트'!B10,1,"")</f>
        <v/>
      </c>
      <c r="K10" s="37" t="str">
        <f>IF(TEXT(K$4,"m/d")='체크리스트'!B10,1,"")</f>
        <v/>
      </c>
      <c r="L10" s="37" t="str">
        <f>IF(TEXT(L$4,"m/d")='체크리스트'!B10,1,"")</f>
        <v/>
      </c>
      <c r="M10" s="37" t="str">
        <f>IF(TEXT(M$4,"m/d")='체크리스트'!B10,1,"")</f>
        <v/>
      </c>
      <c r="N10" s="37" t="str">
        <f>IF(TEXT(N$4,"m/d")='체크리스트'!B10,1,"")</f>
        <v/>
      </c>
    </row>
    <row r="11" ht="40.5" customHeight="1">
      <c r="A11" s="35" t="str">
        <f>'체크리스트'!A11</f>
        <v>T7</v>
      </c>
      <c r="B11" s="36" t="str">
        <f>'체크리스트'!D11</f>
        <v>문제정의서·핵심 시나리오 정의</v>
      </c>
      <c r="C11" s="35" t="str">
        <f>'체크리스트'!C11</f>
        <v>PM</v>
      </c>
      <c r="D11" s="35" t="str">
        <f>'체크리스트'!F11</f>
        <v>완료</v>
      </c>
      <c r="E11" s="37" t="str">
        <f>IF(TEXT(E$4,"m/d")='체크리스트'!B11,1,"")</f>
        <v/>
      </c>
      <c r="F11" s="37">
        <f>IF(TEXT(F$4,"m/d")='체크리스트'!B11,1,"")</f>
        <v>1</v>
      </c>
      <c r="G11" s="37" t="str">
        <f>IF(TEXT(G$4,"m/d")='체크리스트'!B11,1,"")</f>
        <v/>
      </c>
      <c r="H11" s="37" t="str">
        <f>IF(TEXT(H$4,"m/d")='체크리스트'!B11,1,"")</f>
        <v/>
      </c>
      <c r="I11" s="37" t="str">
        <f>IF(TEXT(I$4,"m/d")='체크리스트'!B11,1,"")</f>
        <v/>
      </c>
      <c r="J11" s="37" t="str">
        <f>IF(TEXT(J$4,"m/d")='체크리스트'!B11,1,"")</f>
        <v/>
      </c>
      <c r="K11" s="37" t="str">
        <f>IF(TEXT(K$4,"m/d")='체크리스트'!B11,1,"")</f>
        <v/>
      </c>
      <c r="L11" s="37" t="str">
        <f>IF(TEXT(L$4,"m/d")='체크리스트'!B11,1,"")</f>
        <v/>
      </c>
      <c r="M11" s="37" t="str">
        <f>IF(TEXT(M$4,"m/d")='체크리스트'!B11,1,"")</f>
        <v/>
      </c>
      <c r="N11" s="37" t="str">
        <f>IF(TEXT(N$4,"m/d")='체크리스트'!B11,1,"")</f>
        <v/>
      </c>
    </row>
    <row r="12" ht="40.5" customHeight="1">
      <c r="A12" s="35" t="str">
        <f>'체크리스트'!A12</f>
        <v>T8</v>
      </c>
      <c r="B12" s="36" t="str">
        <f>'체크리스트'!D12</f>
        <v>저니맵(가족/친구/커플) 작성</v>
      </c>
      <c r="C12" s="35" t="str">
        <f>'체크리스트'!C12</f>
        <v>UX</v>
      </c>
      <c r="D12" s="35" t="str">
        <f>'체크리스트'!F12</f>
        <v>완료</v>
      </c>
      <c r="E12" s="37" t="str">
        <f>IF(TEXT(E$4,"m/d")='체크리스트'!B12,1,"")</f>
        <v/>
      </c>
      <c r="F12" s="37">
        <f>IF(TEXT(F$4,"m/d")='체크리스트'!B12,1,"")</f>
        <v>1</v>
      </c>
      <c r="G12" s="37" t="str">
        <f>IF(TEXT(G$4,"m/d")='체크리스트'!B12,1,"")</f>
        <v/>
      </c>
      <c r="H12" s="37" t="str">
        <f>IF(TEXT(H$4,"m/d")='체크리스트'!B12,1,"")</f>
        <v/>
      </c>
      <c r="I12" s="37" t="str">
        <f>IF(TEXT(I$4,"m/d")='체크리스트'!B12,1,"")</f>
        <v/>
      </c>
      <c r="J12" s="37" t="str">
        <f>IF(TEXT(J$4,"m/d")='체크리스트'!B12,1,"")</f>
        <v/>
      </c>
      <c r="K12" s="37" t="str">
        <f>IF(TEXT(K$4,"m/d")='체크리스트'!B12,1,"")</f>
        <v/>
      </c>
      <c r="L12" s="37" t="str">
        <f>IF(TEXT(L$4,"m/d")='체크리스트'!B12,1,"")</f>
        <v/>
      </c>
      <c r="M12" s="37" t="str">
        <f>IF(TEXT(M$4,"m/d")='체크리스트'!B12,1,"")</f>
        <v/>
      </c>
      <c r="N12" s="37" t="str">
        <f>IF(TEXT(N$4,"m/d")='체크리스트'!B12,1,"")</f>
        <v/>
      </c>
    </row>
    <row r="13" ht="40.5" customHeight="1">
      <c r="A13" s="35" t="str">
        <f>'체크리스트'!A13</f>
        <v>T9</v>
      </c>
      <c r="B13" s="36" t="str">
        <f>'체크리스트'!D13</f>
        <v>대화 스크립트(챗봇 시나리오) 초안</v>
      </c>
      <c r="C13" s="35" t="str">
        <f>'체크리스트'!C13</f>
        <v>UX</v>
      </c>
      <c r="D13" s="35" t="str">
        <f>'체크리스트'!F13</f>
        <v>완료</v>
      </c>
      <c r="E13" s="37" t="str">
        <f>IF(TEXT(E$4,"m/d")='체크리스트'!B13,1,"")</f>
        <v/>
      </c>
      <c r="F13" s="37">
        <f>IF(TEXT(F$4,"m/d")='체크리스트'!B13,1,"")</f>
        <v>1</v>
      </c>
      <c r="G13" s="37" t="str">
        <f>IF(TEXT(G$4,"m/d")='체크리스트'!B13,1,"")</f>
        <v/>
      </c>
      <c r="H13" s="37" t="str">
        <f>IF(TEXT(H$4,"m/d")='체크리스트'!B13,1,"")</f>
        <v/>
      </c>
      <c r="I13" s="37" t="str">
        <f>IF(TEXT(I$4,"m/d")='체크리스트'!B13,1,"")</f>
        <v/>
      </c>
      <c r="J13" s="37" t="str">
        <f>IF(TEXT(J$4,"m/d")='체크리스트'!B13,1,"")</f>
        <v/>
      </c>
      <c r="K13" s="37" t="str">
        <f>IF(TEXT(K$4,"m/d")='체크리스트'!B13,1,"")</f>
        <v/>
      </c>
      <c r="L13" s="37" t="str">
        <f>IF(TEXT(L$4,"m/d")='체크리스트'!B13,1,"")</f>
        <v/>
      </c>
      <c r="M13" s="37" t="str">
        <f>IF(TEXT(M$4,"m/d")='체크리스트'!B13,1,"")</f>
        <v/>
      </c>
      <c r="N13" s="37" t="str">
        <f>IF(TEXT(N$4,"m/d")='체크리스트'!B13,1,"")</f>
        <v/>
      </c>
    </row>
    <row r="14" ht="40.5" customHeight="1">
      <c r="A14" s="35" t="str">
        <f>'체크리스트'!A14</f>
        <v>T10</v>
      </c>
      <c r="B14" s="36" t="str">
        <f>'체크리스트'!D14</f>
        <v>조건 슬롯 추출 프롬프트 v0</v>
      </c>
      <c r="C14" s="35" t="str">
        <f>'체크리스트'!C14</f>
        <v>백엔드</v>
      </c>
      <c r="D14" s="35" t="str">
        <f>'체크리스트'!F14</f>
        <v>완료</v>
      </c>
      <c r="E14" s="37" t="str">
        <f>IF(TEXT(E$4,"m/d")='체크리스트'!B14,1,"")</f>
        <v/>
      </c>
      <c r="F14" s="37">
        <f>IF(TEXT(F$4,"m/d")='체크리스트'!B14,1,"")</f>
        <v>1</v>
      </c>
      <c r="G14" s="37" t="str">
        <f>IF(TEXT(G$4,"m/d")='체크리스트'!B14,1,"")</f>
        <v/>
      </c>
      <c r="H14" s="37" t="str">
        <f>IF(TEXT(H$4,"m/d")='체크리스트'!B14,1,"")</f>
        <v/>
      </c>
      <c r="I14" s="37" t="str">
        <f>IF(TEXT(I$4,"m/d")='체크리스트'!B14,1,"")</f>
        <v/>
      </c>
      <c r="J14" s="37" t="str">
        <f>IF(TEXT(J$4,"m/d")='체크리스트'!B14,1,"")</f>
        <v/>
      </c>
      <c r="K14" s="37" t="str">
        <f>IF(TEXT(K$4,"m/d")='체크리스트'!B14,1,"")</f>
        <v/>
      </c>
      <c r="L14" s="37" t="str">
        <f>IF(TEXT(L$4,"m/d")='체크리스트'!B14,1,"")</f>
        <v/>
      </c>
      <c r="M14" s="37" t="str">
        <f>IF(TEXT(M$4,"m/d")='체크리스트'!B14,1,"")</f>
        <v/>
      </c>
      <c r="N14" s="37" t="str">
        <f>IF(TEXT(N$4,"m/d")='체크리스트'!B14,1,"")</f>
        <v/>
      </c>
    </row>
    <row r="15" ht="40.5" customHeight="1">
      <c r="A15" s="35" t="str">
        <f>'체크리스트'!A15</f>
        <v>T11</v>
      </c>
      <c r="B15" s="36" t="str">
        <f>'체크리스트'!D15</f>
        <v>RAG 벡터 인덱스(FAISS) 초안 구축</v>
      </c>
      <c r="C15" s="35" t="str">
        <f>'체크리스트'!C15</f>
        <v>백엔드</v>
      </c>
      <c r="D15" s="35" t="str">
        <f>'체크리스트'!F15</f>
        <v>완료</v>
      </c>
      <c r="E15" s="37" t="str">
        <f>IF(TEXT(E$4,"m/d")='체크리스트'!B15,1,"")</f>
        <v/>
      </c>
      <c r="F15" s="37">
        <f>IF(TEXT(F$4,"m/d")='체크리스트'!B15,1,"")</f>
        <v>1</v>
      </c>
      <c r="G15" s="37" t="str">
        <f>IF(TEXT(G$4,"m/d")='체크리스트'!B15,1,"")</f>
        <v/>
      </c>
      <c r="H15" s="37" t="str">
        <f>IF(TEXT(H$4,"m/d")='체크리스트'!B15,1,"")</f>
        <v/>
      </c>
      <c r="I15" s="37" t="str">
        <f>IF(TEXT(I$4,"m/d")='체크리스트'!B15,1,"")</f>
        <v/>
      </c>
      <c r="J15" s="37" t="str">
        <f>IF(TEXT(J$4,"m/d")='체크리스트'!B15,1,"")</f>
        <v/>
      </c>
      <c r="K15" s="37" t="str">
        <f>IF(TEXT(K$4,"m/d")='체크리스트'!B15,1,"")</f>
        <v/>
      </c>
      <c r="L15" s="37" t="str">
        <f>IF(TEXT(L$4,"m/d")='체크리스트'!B15,1,"")</f>
        <v/>
      </c>
      <c r="M15" s="37" t="str">
        <f>IF(TEXT(M$4,"m/d")='체크리스트'!B15,1,"")</f>
        <v/>
      </c>
      <c r="N15" s="37" t="str">
        <f>IF(TEXT(N$4,"m/d")='체크리스트'!B15,1,"")</f>
        <v/>
      </c>
    </row>
    <row r="16" ht="40.5" customHeight="1">
      <c r="A16" s="35" t="str">
        <f>'체크리스트'!A16</f>
        <v>T12</v>
      </c>
      <c r="B16" s="36" t="str">
        <f>'체크리스트'!D16</f>
        <v>화면구조(IA) 설계 — 4대 메인화면 6/4/4/8탭</v>
      </c>
      <c r="C16" s="35" t="str">
        <f>'체크리스트'!C16</f>
        <v>프론트</v>
      </c>
      <c r="D16" s="35" t="str">
        <f>'체크리스트'!F16</f>
        <v>완료</v>
      </c>
      <c r="E16" s="37" t="str">
        <f>IF(TEXT(E$4,"m/d")='체크리스트'!B16,1,"")</f>
        <v/>
      </c>
      <c r="F16" s="37">
        <f>IF(TEXT(F$4,"m/d")='체크리스트'!B16,1,"")</f>
        <v>1</v>
      </c>
      <c r="G16" s="37" t="str">
        <f>IF(TEXT(G$4,"m/d")='체크리스트'!B16,1,"")</f>
        <v/>
      </c>
      <c r="H16" s="37" t="str">
        <f>IF(TEXT(H$4,"m/d")='체크리스트'!B16,1,"")</f>
        <v/>
      </c>
      <c r="I16" s="37" t="str">
        <f>IF(TEXT(I$4,"m/d")='체크리스트'!B16,1,"")</f>
        <v/>
      </c>
      <c r="J16" s="37" t="str">
        <f>IF(TEXT(J$4,"m/d")='체크리스트'!B16,1,"")</f>
        <v/>
      </c>
      <c r="K16" s="37" t="str">
        <f>IF(TEXT(K$4,"m/d")='체크리스트'!B16,1,"")</f>
        <v/>
      </c>
      <c r="L16" s="37" t="str">
        <f>IF(TEXT(L$4,"m/d")='체크리스트'!B16,1,"")</f>
        <v/>
      </c>
      <c r="M16" s="37" t="str">
        <f>IF(TEXT(M$4,"m/d")='체크리스트'!B16,1,"")</f>
        <v/>
      </c>
      <c r="N16" s="37" t="str">
        <f>IF(TEXT(N$4,"m/d")='체크리스트'!B16,1,"")</f>
        <v/>
      </c>
    </row>
    <row r="17" ht="40.5" customHeight="1">
      <c r="A17" s="35" t="str">
        <f>'체크리스트'!A17</f>
        <v>T13</v>
      </c>
      <c r="B17" s="36" t="str">
        <f>'체크리스트'!D17</f>
        <v>메인 화면(6탭) 목업 제작</v>
      </c>
      <c r="C17" s="35" t="str">
        <f>'체크리스트'!C17</f>
        <v>프론트</v>
      </c>
      <c r="D17" s="35" t="str">
        <f>'체크리스트'!F17</f>
        <v>완료</v>
      </c>
      <c r="E17" s="37" t="str">
        <f>IF(TEXT(E$4,"m/d")='체크리스트'!B17,1,"")</f>
        <v/>
      </c>
      <c r="F17" s="37" t="str">
        <f>IF(TEXT(F$4,"m/d")='체크리스트'!B17,1,"")</f>
        <v/>
      </c>
      <c r="G17" s="37">
        <f>IF(TEXT(G$4,"m/d")='체크리스트'!B17,1,"")</f>
        <v>1</v>
      </c>
      <c r="H17" s="37" t="str">
        <f>IF(TEXT(H$4,"m/d")='체크리스트'!B17,1,"")</f>
        <v/>
      </c>
      <c r="I17" s="37" t="str">
        <f>IF(TEXT(I$4,"m/d")='체크리스트'!B17,1,"")</f>
        <v/>
      </c>
      <c r="J17" s="37" t="str">
        <f>IF(TEXT(J$4,"m/d")='체크리스트'!B17,1,"")</f>
        <v/>
      </c>
      <c r="K17" s="37" t="str">
        <f>IF(TEXT(K$4,"m/d")='체크리스트'!B17,1,"")</f>
        <v/>
      </c>
      <c r="L17" s="37" t="str">
        <f>IF(TEXT(L$4,"m/d")='체크리스트'!B17,1,"")</f>
        <v/>
      </c>
      <c r="M17" s="37" t="str">
        <f>IF(TEXT(M$4,"m/d")='체크리스트'!B17,1,"")</f>
        <v/>
      </c>
      <c r="N17" s="37" t="str">
        <f>IF(TEXT(N$4,"m/d")='체크리스트'!B17,1,"")</f>
        <v/>
      </c>
    </row>
    <row r="18" ht="40.5" customHeight="1">
      <c r="A18" s="35" t="str">
        <f>'체크리스트'!A18</f>
        <v>T14</v>
      </c>
      <c r="B18" s="36" t="str">
        <f>'체크리스트'!D18</f>
        <v>PRD 작성(기능요구사항 v1.0~v1.4) 및 확정</v>
      </c>
      <c r="C18" s="35" t="str">
        <f>'체크리스트'!C18</f>
        <v>PM</v>
      </c>
      <c r="D18" s="35" t="str">
        <f>'체크리스트'!F18</f>
        <v>완료</v>
      </c>
      <c r="E18" s="37" t="str">
        <f>IF(TEXT(E$4,"m/d")='체크리스트'!B18,1,"")</f>
        <v/>
      </c>
      <c r="F18" s="37" t="str">
        <f>IF(TEXT(F$4,"m/d")='체크리스트'!B18,1,"")</f>
        <v/>
      </c>
      <c r="G18" s="37">
        <f>IF(TEXT(G$4,"m/d")='체크리스트'!B18,1,"")</f>
        <v>1</v>
      </c>
      <c r="H18" s="37" t="str">
        <f>IF(TEXT(H$4,"m/d")='체크리스트'!B18,1,"")</f>
        <v/>
      </c>
      <c r="I18" s="37" t="str">
        <f>IF(TEXT(I$4,"m/d")='체크리스트'!B18,1,"")</f>
        <v/>
      </c>
      <c r="J18" s="37" t="str">
        <f>IF(TEXT(J$4,"m/d")='체크리스트'!B18,1,"")</f>
        <v/>
      </c>
      <c r="K18" s="37" t="str">
        <f>IF(TEXT(K$4,"m/d")='체크리스트'!B18,1,"")</f>
        <v/>
      </c>
      <c r="L18" s="37" t="str">
        <f>IF(TEXT(L$4,"m/d")='체크리스트'!B18,1,"")</f>
        <v/>
      </c>
      <c r="M18" s="37" t="str">
        <f>IF(TEXT(M$4,"m/d")='체크리스트'!B18,1,"")</f>
        <v/>
      </c>
      <c r="N18" s="37" t="str">
        <f>IF(TEXT(N$4,"m/d")='체크리스트'!B18,1,"")</f>
        <v/>
      </c>
    </row>
    <row r="19" ht="40.5" customHeight="1">
      <c r="A19" s="35" t="str">
        <f>'체크리스트'!A19</f>
        <v>T15</v>
      </c>
      <c r="B19" s="36" t="str">
        <f>'체크리스트'!D19</f>
        <v>톤앤매너·와이어프레임(로그인~관리자)</v>
      </c>
      <c r="C19" s="35" t="str">
        <f>'체크리스트'!C19</f>
        <v>UX</v>
      </c>
      <c r="D19" s="35" t="str">
        <f>'체크리스트'!F19</f>
        <v>완료</v>
      </c>
      <c r="E19" s="37" t="str">
        <f>IF(TEXT(E$4,"m/d")='체크리스트'!B19,1,"")</f>
        <v/>
      </c>
      <c r="F19" s="37" t="str">
        <f>IF(TEXT(F$4,"m/d")='체크리스트'!B19,1,"")</f>
        <v/>
      </c>
      <c r="G19" s="37">
        <f>IF(TEXT(G$4,"m/d")='체크리스트'!B19,1,"")</f>
        <v>1</v>
      </c>
      <c r="H19" s="37" t="str">
        <f>IF(TEXT(H$4,"m/d")='체크리스트'!B19,1,"")</f>
        <v/>
      </c>
      <c r="I19" s="37" t="str">
        <f>IF(TEXT(I$4,"m/d")='체크리스트'!B19,1,"")</f>
        <v/>
      </c>
      <c r="J19" s="37" t="str">
        <f>IF(TEXT(J$4,"m/d")='체크리스트'!B19,1,"")</f>
        <v/>
      </c>
      <c r="K19" s="37" t="str">
        <f>IF(TEXT(K$4,"m/d")='체크리스트'!B19,1,"")</f>
        <v/>
      </c>
      <c r="L19" s="37" t="str">
        <f>IF(TEXT(L$4,"m/d")='체크리스트'!B19,1,"")</f>
        <v/>
      </c>
      <c r="M19" s="37" t="str">
        <f>IF(TEXT(M$4,"m/d")='체크리스트'!B19,1,"")</f>
        <v/>
      </c>
      <c r="N19" s="37" t="str">
        <f>IF(TEXT(N$4,"m/d")='체크리스트'!B19,1,"")</f>
        <v/>
      </c>
    </row>
    <row r="20" ht="40.5" customHeight="1">
      <c r="A20" s="35" t="str">
        <f>'체크리스트'!A20</f>
        <v>T16</v>
      </c>
      <c r="B20" s="36" t="str">
        <f>'체크리스트'!D20</f>
        <v>로그인/회원가입 API 구현(FR-001~011)</v>
      </c>
      <c r="C20" s="35" t="str">
        <f>'체크리스트'!C20</f>
        <v>백엔드</v>
      </c>
      <c r="D20" s="35" t="str">
        <f>'체크리스트'!F20</f>
        <v>완료</v>
      </c>
      <c r="E20" s="37" t="str">
        <f>IF(TEXT(E$4,"m/d")='체크리스트'!B20,1,"")</f>
        <v/>
      </c>
      <c r="F20" s="37" t="str">
        <f>IF(TEXT(F$4,"m/d")='체크리스트'!B20,1,"")</f>
        <v/>
      </c>
      <c r="G20" s="37">
        <f>IF(TEXT(G$4,"m/d")='체크리스트'!B20,1,"")</f>
        <v>1</v>
      </c>
      <c r="H20" s="37" t="str">
        <f>IF(TEXT(H$4,"m/d")='체크리스트'!B20,1,"")</f>
        <v/>
      </c>
      <c r="I20" s="37" t="str">
        <f>IF(TEXT(I$4,"m/d")='체크리스트'!B20,1,"")</f>
        <v/>
      </c>
      <c r="J20" s="37" t="str">
        <f>IF(TEXT(J$4,"m/d")='체크리스트'!B20,1,"")</f>
        <v/>
      </c>
      <c r="K20" s="37" t="str">
        <f>IF(TEXT(K$4,"m/d")='체크리스트'!B20,1,"")</f>
        <v/>
      </c>
      <c r="L20" s="37" t="str">
        <f>IF(TEXT(L$4,"m/d")='체크리스트'!B20,1,"")</f>
        <v/>
      </c>
      <c r="M20" s="37" t="str">
        <f>IF(TEXT(M$4,"m/d")='체크리스트'!B20,1,"")</f>
        <v/>
      </c>
      <c r="N20" s="37" t="str">
        <f>IF(TEXT(N$4,"m/d")='체크리스트'!B20,1,"")</f>
        <v/>
      </c>
    </row>
    <row r="21" ht="40.5" customHeight="1">
      <c r="A21" s="35" t="str">
        <f>'체크리스트'!A21</f>
        <v>T17</v>
      </c>
      <c r="B21" s="36" t="str">
        <f>'체크리스트'!D21</f>
        <v>로그인/회원가입 화면 구현</v>
      </c>
      <c r="C21" s="35" t="str">
        <f>'체크리스트'!C21</f>
        <v>프론트</v>
      </c>
      <c r="D21" s="35" t="str">
        <f>'체크리스트'!F21</f>
        <v>진행</v>
      </c>
      <c r="E21" s="37" t="str">
        <f>IF(TEXT(E$4,"m/d")='체크리스트'!B21,1,"")</f>
        <v/>
      </c>
      <c r="F21" s="37" t="str">
        <f>IF(TEXT(F$4,"m/d")='체크리스트'!B21,1,"")</f>
        <v/>
      </c>
      <c r="G21" s="37" t="str">
        <f>IF(TEXT(G$4,"m/d")='체크리스트'!B21,1,"")</f>
        <v/>
      </c>
      <c r="H21" s="37">
        <f>IF(TEXT(H$4,"m/d")='체크리스트'!B21,1,"")</f>
        <v>1</v>
      </c>
      <c r="I21" s="37" t="str">
        <f>IF(TEXT(I$4,"m/d")='체크리스트'!B21,1,"")</f>
        <v/>
      </c>
      <c r="J21" s="37" t="str">
        <f>IF(TEXT(J$4,"m/d")='체크리스트'!B21,1,"")</f>
        <v/>
      </c>
      <c r="K21" s="37" t="str">
        <f>IF(TEXT(K$4,"m/d")='체크리스트'!B21,1,"")</f>
        <v/>
      </c>
      <c r="L21" s="37" t="str">
        <f>IF(TEXT(L$4,"m/d")='체크리스트'!B21,1,"")</f>
        <v/>
      </c>
      <c r="M21" s="37" t="str">
        <f>IF(TEXT(M$4,"m/d")='체크리스트'!B21,1,"")</f>
        <v/>
      </c>
      <c r="N21" s="37" t="str">
        <f>IF(TEXT(N$4,"m/d")='체크리스트'!B21,1,"")</f>
        <v/>
      </c>
    </row>
    <row r="22" ht="40.5" customHeight="1">
      <c r="A22" s="35" t="str">
        <f>'체크리스트'!A22</f>
        <v>T18</v>
      </c>
      <c r="B22" s="36" t="str">
        <f>'체크리스트'!D22</f>
        <v>전통시장·5일장 차별화 요구사항 확정(FR-057~078), MoSCoW 재정렬</v>
      </c>
      <c r="C22" s="35" t="str">
        <f>'체크리스트'!C22</f>
        <v>PM</v>
      </c>
      <c r="D22" s="35" t="str">
        <f>'체크리스트'!F22</f>
        <v>진행</v>
      </c>
      <c r="E22" s="37" t="str">
        <f>IF(TEXT(E$4,"m/d")='체크리스트'!B22,1,"")</f>
        <v/>
      </c>
      <c r="F22" s="37" t="str">
        <f>IF(TEXT(F$4,"m/d")='체크리스트'!B22,1,"")</f>
        <v/>
      </c>
      <c r="G22" s="37" t="str">
        <f>IF(TEXT(G$4,"m/d")='체크리스트'!B22,1,"")</f>
        <v/>
      </c>
      <c r="H22" s="37">
        <f>IF(TEXT(H$4,"m/d")='체크리스트'!B22,1,"")</f>
        <v>1</v>
      </c>
      <c r="I22" s="37" t="str">
        <f>IF(TEXT(I$4,"m/d")='체크리스트'!B22,1,"")</f>
        <v/>
      </c>
      <c r="J22" s="37" t="str">
        <f>IF(TEXT(J$4,"m/d")='체크리스트'!B22,1,"")</f>
        <v/>
      </c>
      <c r="K22" s="37" t="str">
        <f>IF(TEXT(K$4,"m/d")='체크리스트'!B22,1,"")</f>
        <v/>
      </c>
      <c r="L22" s="37" t="str">
        <f>IF(TEXT(L$4,"m/d")='체크리스트'!B22,1,"")</f>
        <v/>
      </c>
      <c r="M22" s="37" t="str">
        <f>IF(TEXT(M$4,"m/d")='체크리스트'!B22,1,"")</f>
        <v/>
      </c>
      <c r="N22" s="37" t="str">
        <f>IF(TEXT(N$4,"m/d")='체크리스트'!B22,1,"")</f>
        <v/>
      </c>
    </row>
    <row r="23" ht="40.5" customHeight="1">
      <c r="A23" s="35" t="str">
        <f>'체크리스트'!A23</f>
        <v>T19</v>
      </c>
      <c r="B23" s="36" t="str">
        <f>'체크리스트'!D23</f>
        <v>전통시장 방문 니즈 페르소나 반영, 신규 화면 정의(SC-16~26)</v>
      </c>
      <c r="C23" s="35" t="str">
        <f>'체크리스트'!C23</f>
        <v>UX</v>
      </c>
      <c r="D23" s="35" t="str">
        <f>'체크리스트'!F23</f>
        <v>진행</v>
      </c>
      <c r="E23" s="37" t="str">
        <f>IF(TEXT(E$4,"m/d")='체크리스트'!B23,1,"")</f>
        <v/>
      </c>
      <c r="F23" s="37" t="str">
        <f>IF(TEXT(F$4,"m/d")='체크리스트'!B23,1,"")</f>
        <v/>
      </c>
      <c r="G23" s="37" t="str">
        <f>IF(TEXT(G$4,"m/d")='체크리스트'!B23,1,"")</f>
        <v/>
      </c>
      <c r="H23" s="37">
        <f>IF(TEXT(H$4,"m/d")='체크리스트'!B23,1,"")</f>
        <v>1</v>
      </c>
      <c r="I23" s="37" t="str">
        <f>IF(TEXT(I$4,"m/d")='체크리스트'!B23,1,"")</f>
        <v/>
      </c>
      <c r="J23" s="37" t="str">
        <f>IF(TEXT(J$4,"m/d")='체크리스트'!B23,1,"")</f>
        <v/>
      </c>
      <c r="K23" s="37" t="str">
        <f>IF(TEXT(K$4,"m/d")='체크리스트'!B23,1,"")</f>
        <v/>
      </c>
      <c r="L23" s="37" t="str">
        <f>IF(TEXT(L$4,"m/d")='체크리스트'!B23,1,"")</f>
        <v/>
      </c>
      <c r="M23" s="37" t="str">
        <f>IF(TEXT(M$4,"m/d")='체크리스트'!B23,1,"")</f>
        <v/>
      </c>
      <c r="N23" s="37" t="str">
        <f>IF(TEXT(N$4,"m/d")='체크리스트'!B23,1,"")</f>
        <v/>
      </c>
    </row>
    <row r="24" ht="40.5" customHeight="1">
      <c r="A24" s="35" t="str">
        <f>'체크리스트'!A24</f>
        <v>T20</v>
      </c>
      <c r="B24" s="36" t="str">
        <f>'체크리스트'!D24</f>
        <v>RAG 후보검색·코스생성 로직 고도화</v>
      </c>
      <c r="C24" s="35" t="str">
        <f>'체크리스트'!C24</f>
        <v>백엔드</v>
      </c>
      <c r="D24" s="35" t="str">
        <f>'체크리스트'!F24</f>
        <v>진행</v>
      </c>
      <c r="E24" s="37" t="str">
        <f>IF(TEXT(E$4,"m/d")='체크리스트'!B24,1,"")</f>
        <v/>
      </c>
      <c r="F24" s="37" t="str">
        <f>IF(TEXT(F$4,"m/d")='체크리스트'!B24,1,"")</f>
        <v/>
      </c>
      <c r="G24" s="37" t="str">
        <f>IF(TEXT(G$4,"m/d")='체크리스트'!B24,1,"")</f>
        <v/>
      </c>
      <c r="H24" s="37">
        <f>IF(TEXT(H$4,"m/d")='체크리스트'!B24,1,"")</f>
        <v>1</v>
      </c>
      <c r="I24" s="37" t="str">
        <f>IF(TEXT(I$4,"m/d")='체크리스트'!B24,1,"")</f>
        <v/>
      </c>
      <c r="J24" s="37" t="str">
        <f>IF(TEXT(J$4,"m/d")='체크리스트'!B24,1,"")</f>
        <v/>
      </c>
      <c r="K24" s="37" t="str">
        <f>IF(TEXT(K$4,"m/d")='체크리스트'!B24,1,"")</f>
        <v/>
      </c>
      <c r="L24" s="37" t="str">
        <f>IF(TEXT(L$4,"m/d")='체크리스트'!B24,1,"")</f>
        <v/>
      </c>
      <c r="M24" s="37" t="str">
        <f>IF(TEXT(M$4,"m/d")='체크리스트'!B24,1,"")</f>
        <v/>
      </c>
      <c r="N24" s="37" t="str">
        <f>IF(TEXT(N$4,"m/d")='체크리스트'!B24,1,"")</f>
        <v/>
      </c>
    </row>
    <row r="25" ht="40.5" customHeight="1">
      <c r="A25" s="35" t="str">
        <f>'체크리스트'!A25</f>
        <v>T21</v>
      </c>
      <c r="B25" s="36" t="str">
        <f>'체크리스트'!D25</f>
        <v>자연어 조건입력/추출 API 완성</v>
      </c>
      <c r="C25" s="35" t="str">
        <f>'체크리스트'!C25</f>
        <v>백엔드</v>
      </c>
      <c r="D25" s="35" t="str">
        <f>'체크리스트'!F25</f>
        <v>대기</v>
      </c>
      <c r="E25" s="37" t="str">
        <f>IF(TEXT(E$4,"m/d")='체크리스트'!B25,1,"")</f>
        <v/>
      </c>
      <c r="F25" s="37" t="str">
        <f>IF(TEXT(F$4,"m/d")='체크리스트'!B25,1,"")</f>
        <v/>
      </c>
      <c r="G25" s="37" t="str">
        <f>IF(TEXT(G$4,"m/d")='체크리스트'!B25,1,"")</f>
        <v/>
      </c>
      <c r="H25" s="37" t="str">
        <f>IF(TEXT(H$4,"m/d")='체크리스트'!B25,1,"")</f>
        <v/>
      </c>
      <c r="I25" s="37">
        <f>IF(TEXT(I$4,"m/d")='체크리스트'!B25,1,"")</f>
        <v>1</v>
      </c>
      <c r="J25" s="37" t="str">
        <f>IF(TEXT(J$4,"m/d")='체크리스트'!B25,1,"")</f>
        <v/>
      </c>
      <c r="K25" s="37" t="str">
        <f>IF(TEXT(K$4,"m/d")='체크리스트'!B25,1,"")</f>
        <v/>
      </c>
      <c r="L25" s="37" t="str">
        <f>IF(TEXT(L$4,"m/d")='체크리스트'!B25,1,"")</f>
        <v/>
      </c>
      <c r="M25" s="37" t="str">
        <f>IF(TEXT(M$4,"m/d")='체크리스트'!B25,1,"")</f>
        <v/>
      </c>
      <c r="N25" s="37" t="str">
        <f>IF(TEXT(N$4,"m/d")='체크리스트'!B25,1,"")</f>
        <v/>
      </c>
    </row>
    <row r="26" ht="40.5" customHeight="1">
      <c r="A26" s="35" t="str">
        <f>'체크리스트'!A26</f>
        <v>T22</v>
      </c>
      <c r="B26" s="36" t="str">
        <f>'체크리스트'!D26</f>
        <v>대화 세션 저장/이어서 하기 구현</v>
      </c>
      <c r="C26" s="35" t="str">
        <f>'체크리스트'!C26</f>
        <v>백엔드</v>
      </c>
      <c r="D26" s="35" t="str">
        <f>'체크리스트'!F26</f>
        <v>대기</v>
      </c>
      <c r="E26" s="37" t="str">
        <f>IF(TEXT(E$4,"m/d")='체크리스트'!B26,1,"")</f>
        <v/>
      </c>
      <c r="F26" s="37" t="str">
        <f>IF(TEXT(F$4,"m/d")='체크리스트'!B26,1,"")</f>
        <v/>
      </c>
      <c r="G26" s="37" t="str">
        <f>IF(TEXT(G$4,"m/d")='체크리스트'!B26,1,"")</f>
        <v/>
      </c>
      <c r="H26" s="37" t="str">
        <f>IF(TEXT(H$4,"m/d")='체크리스트'!B26,1,"")</f>
        <v/>
      </c>
      <c r="I26" s="37">
        <f>IF(TEXT(I$4,"m/d")='체크리스트'!B26,1,"")</f>
        <v>1</v>
      </c>
      <c r="J26" s="37" t="str">
        <f>IF(TEXT(J$4,"m/d")='체크리스트'!B26,1,"")</f>
        <v/>
      </c>
      <c r="K26" s="37" t="str">
        <f>IF(TEXT(K$4,"m/d")='체크리스트'!B26,1,"")</f>
        <v/>
      </c>
      <c r="L26" s="37" t="str">
        <f>IF(TEXT(L$4,"m/d")='체크리스트'!B26,1,"")</f>
        <v/>
      </c>
      <c r="M26" s="37" t="str">
        <f>IF(TEXT(M$4,"m/d")='체크리스트'!B26,1,"")</f>
        <v/>
      </c>
      <c r="N26" s="37" t="str">
        <f>IF(TEXT(N$4,"m/d")='체크리스트'!B26,1,"")</f>
        <v/>
      </c>
    </row>
    <row r="27" ht="40.5" customHeight="1">
      <c r="A27" s="35" t="str">
        <f>'체크리스트'!A27</f>
        <v>T23</v>
      </c>
      <c r="B27" s="36" t="str">
        <f>'체크리스트'!D27</f>
        <v>대화 UI + 대화기록 사이드바 구현</v>
      </c>
      <c r="C27" s="35" t="str">
        <f>'체크리스트'!C27</f>
        <v>프론트</v>
      </c>
      <c r="D27" s="35" t="str">
        <f>'체크리스트'!F27</f>
        <v>대기</v>
      </c>
      <c r="E27" s="37" t="str">
        <f>IF(TEXT(E$4,"m/d")='체크리스트'!B27,1,"")</f>
        <v/>
      </c>
      <c r="F27" s="37" t="str">
        <f>IF(TEXT(F$4,"m/d")='체크리스트'!B27,1,"")</f>
        <v/>
      </c>
      <c r="G27" s="37" t="str">
        <f>IF(TEXT(G$4,"m/d")='체크리스트'!B27,1,"")</f>
        <v/>
      </c>
      <c r="H27" s="37" t="str">
        <f>IF(TEXT(H$4,"m/d")='체크리스트'!B27,1,"")</f>
        <v/>
      </c>
      <c r="I27" s="37">
        <f>IF(TEXT(I$4,"m/d")='체크리스트'!B27,1,"")</f>
        <v>1</v>
      </c>
      <c r="J27" s="37" t="str">
        <f>IF(TEXT(J$4,"m/d")='체크리스트'!B27,1,"")</f>
        <v/>
      </c>
      <c r="K27" s="37" t="str">
        <f>IF(TEXT(K$4,"m/d")='체크리스트'!B27,1,"")</f>
        <v/>
      </c>
      <c r="L27" s="37" t="str">
        <f>IF(TEXT(L$4,"m/d")='체크리스트'!B27,1,"")</f>
        <v/>
      </c>
      <c r="M27" s="37" t="str">
        <f>IF(TEXT(M$4,"m/d")='체크리스트'!B27,1,"")</f>
        <v/>
      </c>
      <c r="N27" s="37" t="str">
        <f>IF(TEXT(N$4,"m/d")='체크리스트'!B27,1,"")</f>
        <v/>
      </c>
    </row>
    <row r="28" ht="40.5" customHeight="1">
      <c r="A28" s="35" t="str">
        <f>'체크리스트'!A28</f>
        <v>T24</v>
      </c>
      <c r="B28" s="36" t="str">
        <f>'체크리스트'!D28</f>
        <v>즐겨찾기(찜하기) API 구현(FR-059)</v>
      </c>
      <c r="C28" s="35" t="str">
        <f>'체크리스트'!C28</f>
        <v>백엔드</v>
      </c>
      <c r="D28" s="35" t="str">
        <f>'체크리스트'!F28</f>
        <v>대기</v>
      </c>
      <c r="E28" s="37" t="str">
        <f>IF(TEXT(E$4,"m/d")='체크리스트'!B28,1,"")</f>
        <v/>
      </c>
      <c r="F28" s="37" t="str">
        <f>IF(TEXT(F$4,"m/d")='체크리스트'!B28,1,"")</f>
        <v/>
      </c>
      <c r="G28" s="37" t="str">
        <f>IF(TEXT(G$4,"m/d")='체크리스트'!B28,1,"")</f>
        <v/>
      </c>
      <c r="H28" s="37" t="str">
        <f>IF(TEXT(H$4,"m/d")='체크리스트'!B28,1,"")</f>
        <v/>
      </c>
      <c r="I28" s="37">
        <f>IF(TEXT(I$4,"m/d")='체크리스트'!B28,1,"")</f>
        <v>1</v>
      </c>
      <c r="J28" s="37" t="str">
        <f>IF(TEXT(J$4,"m/d")='체크리스트'!B28,1,"")</f>
        <v/>
      </c>
      <c r="K28" s="37" t="str">
        <f>IF(TEXT(K$4,"m/d")='체크리스트'!B28,1,"")</f>
        <v/>
      </c>
      <c r="L28" s="37" t="str">
        <f>IF(TEXT(L$4,"m/d")='체크리스트'!B28,1,"")</f>
        <v/>
      </c>
      <c r="M28" s="37" t="str">
        <f>IF(TEXT(M$4,"m/d")='체크리스트'!B28,1,"")</f>
        <v/>
      </c>
      <c r="N28" s="37" t="str">
        <f>IF(TEXT(N$4,"m/d")='체크리스트'!B28,1,"")</f>
        <v/>
      </c>
    </row>
    <row r="29" ht="40.5" customHeight="1">
      <c r="A29" s="35" t="str">
        <f>'체크리스트'!A29</f>
        <v>T25</v>
      </c>
      <c r="B29" s="36" t="str">
        <f>'체크리스트'!D29</f>
        <v>RAG 후보검색 결과화면·장소카드 구현</v>
      </c>
      <c r="C29" s="35" t="str">
        <f>'체크리스트'!C29</f>
        <v>프론트</v>
      </c>
      <c r="D29" s="35" t="str">
        <f>'체크리스트'!F29</f>
        <v>대기</v>
      </c>
      <c r="E29" s="37" t="str">
        <f>IF(TEXT(E$4,"m/d")='체크리스트'!B29,1,"")</f>
        <v/>
      </c>
      <c r="F29" s="37" t="str">
        <f>IF(TEXT(F$4,"m/d")='체크리스트'!B29,1,"")</f>
        <v/>
      </c>
      <c r="G29" s="37" t="str">
        <f>IF(TEXT(G$4,"m/d")='체크리스트'!B29,1,"")</f>
        <v/>
      </c>
      <c r="H29" s="37" t="str">
        <f>IF(TEXT(H$4,"m/d")='체크리스트'!B29,1,"")</f>
        <v/>
      </c>
      <c r="I29" s="37" t="str">
        <f>IF(TEXT(I$4,"m/d")='체크리스트'!B29,1,"")</f>
        <v/>
      </c>
      <c r="J29" s="37">
        <f>IF(TEXT(J$4,"m/d")='체크리스트'!B29,1,"")</f>
        <v>1</v>
      </c>
      <c r="K29" s="37" t="str">
        <f>IF(TEXT(K$4,"m/d")='체크리스트'!B29,1,"")</f>
        <v/>
      </c>
      <c r="L29" s="37" t="str">
        <f>IF(TEXT(L$4,"m/d")='체크리스트'!B29,1,"")</f>
        <v/>
      </c>
      <c r="M29" s="37" t="str">
        <f>IF(TEXT(M$4,"m/d")='체크리스트'!B29,1,"")</f>
        <v/>
      </c>
      <c r="N29" s="37" t="str">
        <f>IF(TEXT(N$4,"m/d")='체크리스트'!B29,1,"")</f>
        <v/>
      </c>
    </row>
    <row r="30" ht="40.5" customHeight="1">
      <c r="A30" s="35" t="str">
        <f>'체크리스트'!A30</f>
        <v>T26</v>
      </c>
      <c r="B30" s="36" t="str">
        <f>'체크리스트'!D30</f>
        <v>일정 수정(추가·삭제·교체) API(FR-029~034)</v>
      </c>
      <c r="C30" s="35" t="str">
        <f>'체크리스트'!C30</f>
        <v>백엔드</v>
      </c>
      <c r="D30" s="35" t="str">
        <f>'체크리스트'!F30</f>
        <v>대기</v>
      </c>
      <c r="E30" s="37" t="str">
        <f>IF(TEXT(E$4,"m/d")='체크리스트'!B30,1,"")</f>
        <v/>
      </c>
      <c r="F30" s="37" t="str">
        <f>IF(TEXT(F$4,"m/d")='체크리스트'!B30,1,"")</f>
        <v/>
      </c>
      <c r="G30" s="37" t="str">
        <f>IF(TEXT(G$4,"m/d")='체크리스트'!B30,1,"")</f>
        <v/>
      </c>
      <c r="H30" s="37" t="str">
        <f>IF(TEXT(H$4,"m/d")='체크리스트'!B30,1,"")</f>
        <v/>
      </c>
      <c r="I30" s="37" t="str">
        <f>IF(TEXT(I$4,"m/d")='체크리스트'!B30,1,"")</f>
        <v/>
      </c>
      <c r="J30" s="37">
        <f>IF(TEXT(J$4,"m/d")='체크리스트'!B30,1,"")</f>
        <v>1</v>
      </c>
      <c r="K30" s="37" t="str">
        <f>IF(TEXT(K$4,"m/d")='체크리스트'!B30,1,"")</f>
        <v/>
      </c>
      <c r="L30" s="37" t="str">
        <f>IF(TEXT(L$4,"m/d")='체크리스트'!B30,1,"")</f>
        <v/>
      </c>
      <c r="M30" s="37" t="str">
        <f>IF(TEXT(M$4,"m/d")='체크리스트'!B30,1,"")</f>
        <v/>
      </c>
      <c r="N30" s="37" t="str">
        <f>IF(TEXT(N$4,"m/d")='체크리스트'!B30,1,"")</f>
        <v/>
      </c>
    </row>
    <row r="31" ht="40.5" customHeight="1">
      <c r="A31" s="35" t="str">
        <f>'체크리스트'!A31</f>
        <v>T27</v>
      </c>
      <c r="B31" s="36" t="str">
        <f>'체크리스트'!D31</f>
        <v>일정 수정 UI 구현</v>
      </c>
      <c r="C31" s="35" t="str">
        <f>'체크리스트'!C31</f>
        <v>프론트</v>
      </c>
      <c r="D31" s="35" t="str">
        <f>'체크리스트'!F31</f>
        <v>대기</v>
      </c>
      <c r="E31" s="37" t="str">
        <f>IF(TEXT(E$4,"m/d")='체크리스트'!B31,1,"")</f>
        <v/>
      </c>
      <c r="F31" s="37" t="str">
        <f>IF(TEXT(F$4,"m/d")='체크리스트'!B31,1,"")</f>
        <v/>
      </c>
      <c r="G31" s="37" t="str">
        <f>IF(TEXT(G$4,"m/d")='체크리스트'!B31,1,"")</f>
        <v/>
      </c>
      <c r="H31" s="37" t="str">
        <f>IF(TEXT(H$4,"m/d")='체크리스트'!B31,1,"")</f>
        <v/>
      </c>
      <c r="I31" s="37" t="str">
        <f>IF(TEXT(I$4,"m/d")='체크리스트'!B31,1,"")</f>
        <v/>
      </c>
      <c r="J31" s="37">
        <f>IF(TEXT(J$4,"m/d")='체크리스트'!B31,1,"")</f>
        <v>1</v>
      </c>
      <c r="K31" s="37" t="str">
        <f>IF(TEXT(K$4,"m/d")='체크리스트'!B31,1,"")</f>
        <v/>
      </c>
      <c r="L31" s="37" t="str">
        <f>IF(TEXT(L$4,"m/d")='체크리스트'!B31,1,"")</f>
        <v/>
      </c>
      <c r="M31" s="37" t="str">
        <f>IF(TEXT(M$4,"m/d")='체크리스트'!B31,1,"")</f>
        <v/>
      </c>
      <c r="N31" s="37" t="str">
        <f>IF(TEXT(N$4,"m/d")='체크리스트'!B31,1,"")</f>
        <v/>
      </c>
    </row>
    <row r="32" ht="40.5" customHeight="1">
      <c r="A32" s="35" t="str">
        <f>'체크리스트'!A32</f>
        <v>T28</v>
      </c>
      <c r="B32" s="36" t="str">
        <f>'체크리스트'!D32</f>
        <v>리뷰 요약 로직(FR-035)</v>
      </c>
      <c r="C32" s="35" t="str">
        <f>'체크리스트'!C32</f>
        <v>백엔드</v>
      </c>
      <c r="D32" s="35" t="str">
        <f>'체크리스트'!F32</f>
        <v>대기</v>
      </c>
      <c r="E32" s="37" t="str">
        <f>IF(TEXT(E$4,"m/d")='체크리스트'!B32,1,"")</f>
        <v/>
      </c>
      <c r="F32" s="37" t="str">
        <f>IF(TEXT(F$4,"m/d")='체크리스트'!B32,1,"")</f>
        <v/>
      </c>
      <c r="G32" s="37" t="str">
        <f>IF(TEXT(G$4,"m/d")='체크리스트'!B32,1,"")</f>
        <v/>
      </c>
      <c r="H32" s="37" t="str">
        <f>IF(TEXT(H$4,"m/d")='체크리스트'!B32,1,"")</f>
        <v/>
      </c>
      <c r="I32" s="37" t="str">
        <f>IF(TEXT(I$4,"m/d")='체크리스트'!B32,1,"")</f>
        <v/>
      </c>
      <c r="J32" s="37">
        <f>IF(TEXT(J$4,"m/d")='체크리스트'!B32,1,"")</f>
        <v>1</v>
      </c>
      <c r="K32" s="37" t="str">
        <f>IF(TEXT(K$4,"m/d")='체크리스트'!B32,1,"")</f>
        <v/>
      </c>
      <c r="L32" s="37" t="str">
        <f>IF(TEXT(L$4,"m/d")='체크리스트'!B32,1,"")</f>
        <v/>
      </c>
      <c r="M32" s="37" t="str">
        <f>IF(TEXT(M$4,"m/d")='체크리스트'!B32,1,"")</f>
        <v/>
      </c>
      <c r="N32" s="37" t="str">
        <f>IF(TEXT(N$4,"m/d")='체크리스트'!B32,1,"")</f>
        <v/>
      </c>
    </row>
    <row r="33" ht="40.5" customHeight="1">
      <c r="A33" s="35" t="str">
        <f>'체크리스트'!A33</f>
        <v>T29</v>
      </c>
      <c r="B33" s="36" t="str">
        <f>'체크리스트'!D33</f>
        <v>리뷰 작성/조회 API(FR-038~040)</v>
      </c>
      <c r="C33" s="35" t="str">
        <f>'체크리스트'!C33</f>
        <v>백엔드</v>
      </c>
      <c r="D33" s="35" t="str">
        <f>'체크리스트'!F33</f>
        <v>대기</v>
      </c>
      <c r="E33" s="37" t="str">
        <f>IF(TEXT(E$4,"m/d")='체크리스트'!B33,1,"")</f>
        <v/>
      </c>
      <c r="F33" s="37" t="str">
        <f>IF(TEXT(F$4,"m/d")='체크리스트'!B33,1,"")</f>
        <v/>
      </c>
      <c r="G33" s="37" t="str">
        <f>IF(TEXT(G$4,"m/d")='체크리스트'!B33,1,"")</f>
        <v/>
      </c>
      <c r="H33" s="37" t="str">
        <f>IF(TEXT(H$4,"m/d")='체크리스트'!B33,1,"")</f>
        <v/>
      </c>
      <c r="I33" s="37" t="str">
        <f>IF(TEXT(I$4,"m/d")='체크리스트'!B33,1,"")</f>
        <v/>
      </c>
      <c r="J33" s="37" t="str">
        <f>IF(TEXT(J$4,"m/d")='체크리스트'!B33,1,"")</f>
        <v/>
      </c>
      <c r="K33" s="37">
        <f>IF(TEXT(K$4,"m/d")='체크리스트'!B33,1,"")</f>
        <v>1</v>
      </c>
      <c r="L33" s="37" t="str">
        <f>IF(TEXT(L$4,"m/d")='체크리스트'!B33,1,"")</f>
        <v/>
      </c>
      <c r="M33" s="37" t="str">
        <f>IF(TEXT(M$4,"m/d")='체크리스트'!B33,1,"")</f>
        <v/>
      </c>
      <c r="N33" s="37" t="str">
        <f>IF(TEXT(N$4,"m/d")='체크리스트'!B33,1,"")</f>
        <v/>
      </c>
    </row>
    <row r="34" ht="40.5" customHeight="1">
      <c r="A34" s="35" t="str">
        <f>'체크리스트'!A34</f>
        <v>T30</v>
      </c>
      <c r="B34" s="36" t="str">
        <f>'체크리스트'!D34</f>
        <v>리뷰 화면 구현</v>
      </c>
      <c r="C34" s="35" t="str">
        <f>'체크리스트'!C34</f>
        <v>프론트</v>
      </c>
      <c r="D34" s="35" t="str">
        <f>'체크리스트'!F34</f>
        <v>대기</v>
      </c>
      <c r="E34" s="37" t="str">
        <f>IF(TEXT(E$4,"m/d")='체크리스트'!B34,1,"")</f>
        <v/>
      </c>
      <c r="F34" s="37" t="str">
        <f>IF(TEXT(F$4,"m/d")='체크리스트'!B34,1,"")</f>
        <v/>
      </c>
      <c r="G34" s="37" t="str">
        <f>IF(TEXT(G$4,"m/d")='체크리스트'!B34,1,"")</f>
        <v/>
      </c>
      <c r="H34" s="37" t="str">
        <f>IF(TEXT(H$4,"m/d")='체크리스트'!B34,1,"")</f>
        <v/>
      </c>
      <c r="I34" s="37" t="str">
        <f>IF(TEXT(I$4,"m/d")='체크리스트'!B34,1,"")</f>
        <v/>
      </c>
      <c r="J34" s="37" t="str">
        <f>IF(TEXT(J$4,"m/d")='체크리스트'!B34,1,"")</f>
        <v/>
      </c>
      <c r="K34" s="37">
        <f>IF(TEXT(K$4,"m/d")='체크리스트'!B34,1,"")</f>
        <v>1</v>
      </c>
      <c r="L34" s="37" t="str">
        <f>IF(TEXT(L$4,"m/d")='체크리스트'!B34,1,"")</f>
        <v/>
      </c>
      <c r="M34" s="37" t="str">
        <f>IF(TEXT(M$4,"m/d")='체크리스트'!B34,1,"")</f>
        <v/>
      </c>
      <c r="N34" s="37" t="str">
        <f>IF(TEXT(N$4,"m/d")='체크리스트'!B34,1,"")</f>
        <v/>
      </c>
    </row>
    <row r="35" ht="40.5" customHeight="1">
      <c r="A35" s="35" t="str">
        <f>'체크리스트'!A35</f>
        <v>T31</v>
      </c>
      <c r="B35" s="36" t="str">
        <f>'체크리스트'!D35</f>
        <v>상인 대시보드 API(FR-048~049)</v>
      </c>
      <c r="C35" s="35" t="str">
        <f>'체크리스트'!C35</f>
        <v>백엔드</v>
      </c>
      <c r="D35" s="35" t="str">
        <f>'체크리스트'!F35</f>
        <v>대기</v>
      </c>
      <c r="E35" s="37" t="str">
        <f>IF(TEXT(E$4,"m/d")='체크리스트'!B35,1,"")</f>
        <v/>
      </c>
      <c r="F35" s="37" t="str">
        <f>IF(TEXT(F$4,"m/d")='체크리스트'!B35,1,"")</f>
        <v/>
      </c>
      <c r="G35" s="37" t="str">
        <f>IF(TEXT(G$4,"m/d")='체크리스트'!B35,1,"")</f>
        <v/>
      </c>
      <c r="H35" s="37" t="str">
        <f>IF(TEXT(H$4,"m/d")='체크리스트'!B35,1,"")</f>
        <v/>
      </c>
      <c r="I35" s="37" t="str">
        <f>IF(TEXT(I$4,"m/d")='체크리스트'!B35,1,"")</f>
        <v/>
      </c>
      <c r="J35" s="37" t="str">
        <f>IF(TEXT(J$4,"m/d")='체크리스트'!B35,1,"")</f>
        <v/>
      </c>
      <c r="K35" s="37">
        <f>IF(TEXT(K$4,"m/d")='체크리스트'!B35,1,"")</f>
        <v>1</v>
      </c>
      <c r="L35" s="37" t="str">
        <f>IF(TEXT(L$4,"m/d")='체크리스트'!B35,1,"")</f>
        <v/>
      </c>
      <c r="M35" s="37" t="str">
        <f>IF(TEXT(M$4,"m/d")='체크리스트'!B35,1,"")</f>
        <v/>
      </c>
      <c r="N35" s="37" t="str">
        <f>IF(TEXT(N$4,"m/d")='체크리스트'!B35,1,"")</f>
        <v/>
      </c>
    </row>
    <row r="36" ht="40.5" customHeight="1">
      <c r="A36" s="35" t="str">
        <f>'체크리스트'!A36</f>
        <v>T32</v>
      </c>
      <c r="B36" s="36" t="str">
        <f>'체크리스트'!D36</f>
        <v>상인 대시보드 화면 구현</v>
      </c>
      <c r="C36" s="35" t="str">
        <f>'체크리스트'!C36</f>
        <v>프론트</v>
      </c>
      <c r="D36" s="35" t="str">
        <f>'체크리스트'!F36</f>
        <v>대기</v>
      </c>
      <c r="E36" s="37" t="str">
        <f>IF(TEXT(E$4,"m/d")='체크리스트'!B36,1,"")</f>
        <v/>
      </c>
      <c r="F36" s="37" t="str">
        <f>IF(TEXT(F$4,"m/d")='체크리스트'!B36,1,"")</f>
        <v/>
      </c>
      <c r="G36" s="37" t="str">
        <f>IF(TEXT(G$4,"m/d")='체크리스트'!B36,1,"")</f>
        <v/>
      </c>
      <c r="H36" s="37" t="str">
        <f>IF(TEXT(H$4,"m/d")='체크리스트'!B36,1,"")</f>
        <v/>
      </c>
      <c r="I36" s="37" t="str">
        <f>IF(TEXT(I$4,"m/d")='체크리스트'!B36,1,"")</f>
        <v/>
      </c>
      <c r="J36" s="37" t="str">
        <f>IF(TEXT(J$4,"m/d")='체크리스트'!B36,1,"")</f>
        <v/>
      </c>
      <c r="K36" s="37">
        <f>IF(TEXT(K$4,"m/d")='체크리스트'!B36,1,"")</f>
        <v>1</v>
      </c>
      <c r="L36" s="37" t="str">
        <f>IF(TEXT(L$4,"m/d")='체크리스트'!B36,1,"")</f>
        <v/>
      </c>
      <c r="M36" s="37" t="str">
        <f>IF(TEXT(M$4,"m/d")='체크리스트'!B36,1,"")</f>
        <v/>
      </c>
      <c r="N36" s="37" t="str">
        <f>IF(TEXT(N$4,"m/d")='체크리스트'!B36,1,"")</f>
        <v/>
      </c>
    </row>
    <row r="37" ht="40.5" customHeight="1">
      <c r="A37" s="35" t="str">
        <f>'체크리스트'!A37</f>
        <v>T33</v>
      </c>
      <c r="B37" s="36" t="str">
        <f>'체크리스트'!D37</f>
        <v>전통시장 예약주문 접수/확인(FR-063~064, 결제 제외)</v>
      </c>
      <c r="C37" s="35" t="str">
        <f>'체크리스트'!C37</f>
        <v>백엔드/프론트</v>
      </c>
      <c r="D37" s="35" t="str">
        <f>'체크리스트'!F37</f>
        <v>대기</v>
      </c>
      <c r="E37" s="37" t="str">
        <f>IF(TEXT(E$4,"m/d")='체크리스트'!B37,1,"")</f>
        <v/>
      </c>
      <c r="F37" s="37" t="str">
        <f>IF(TEXT(F$4,"m/d")='체크리스트'!B37,1,"")</f>
        <v/>
      </c>
      <c r="G37" s="37" t="str">
        <f>IF(TEXT(G$4,"m/d")='체크리스트'!B37,1,"")</f>
        <v/>
      </c>
      <c r="H37" s="37" t="str">
        <f>IF(TEXT(H$4,"m/d")='체크리스트'!B37,1,"")</f>
        <v/>
      </c>
      <c r="I37" s="37" t="str">
        <f>IF(TEXT(I$4,"m/d")='체크리스트'!B37,1,"")</f>
        <v/>
      </c>
      <c r="J37" s="37" t="str">
        <f>IF(TEXT(J$4,"m/d")='체크리스트'!B37,1,"")</f>
        <v/>
      </c>
      <c r="K37" s="37">
        <f>IF(TEXT(K$4,"m/d")='체크리스트'!B37,1,"")</f>
        <v>1</v>
      </c>
      <c r="L37" s="37" t="str">
        <f>IF(TEXT(L$4,"m/d")='체크리스트'!B37,1,"")</f>
        <v/>
      </c>
      <c r="M37" s="37" t="str">
        <f>IF(TEXT(M$4,"m/d")='체크리스트'!B37,1,"")</f>
        <v/>
      </c>
      <c r="N37" s="37" t="str">
        <f>IF(TEXT(N$4,"m/d")='체크리스트'!B37,1,"")</f>
        <v/>
      </c>
    </row>
    <row r="38" ht="40.5" customHeight="1">
      <c r="A38" s="35" t="str">
        <f>'체크리스트'!A38</f>
        <v>T34</v>
      </c>
      <c r="B38" s="36" t="str">
        <f>'체크리스트'!D38</f>
        <v>전통시장 정보관리(관리자) API(FR-060)</v>
      </c>
      <c r="C38" s="35" t="str">
        <f>'체크리스트'!C38</f>
        <v>백엔드</v>
      </c>
      <c r="D38" s="35" t="str">
        <f>'체크리스트'!F38</f>
        <v>대기</v>
      </c>
      <c r="E38" s="37" t="str">
        <f>IF(TEXT(E$4,"m/d")='체크리스트'!B38,1,"")</f>
        <v/>
      </c>
      <c r="F38" s="37" t="str">
        <f>IF(TEXT(F$4,"m/d")='체크리스트'!B38,1,"")</f>
        <v/>
      </c>
      <c r="G38" s="37" t="str">
        <f>IF(TEXT(G$4,"m/d")='체크리스트'!B38,1,"")</f>
        <v/>
      </c>
      <c r="H38" s="37" t="str">
        <f>IF(TEXT(H$4,"m/d")='체크리스트'!B38,1,"")</f>
        <v/>
      </c>
      <c r="I38" s="37" t="str">
        <f>IF(TEXT(I$4,"m/d")='체크리스트'!B38,1,"")</f>
        <v/>
      </c>
      <c r="J38" s="37" t="str">
        <f>IF(TEXT(J$4,"m/d")='체크리스트'!B38,1,"")</f>
        <v/>
      </c>
      <c r="K38" s="37" t="str">
        <f>IF(TEXT(K$4,"m/d")='체크리스트'!B38,1,"")</f>
        <v/>
      </c>
      <c r="L38" s="37">
        <f>IF(TEXT(L$4,"m/d")='체크리스트'!B38,1,"")</f>
        <v>1</v>
      </c>
      <c r="M38" s="37" t="str">
        <f>IF(TEXT(M$4,"m/d")='체크리스트'!B38,1,"")</f>
        <v/>
      </c>
      <c r="N38" s="37" t="str">
        <f>IF(TEXT(N$4,"m/d")='체크리스트'!B38,1,"")</f>
        <v/>
      </c>
    </row>
    <row r="39" ht="40.5" customHeight="1">
      <c r="A39" s="35" t="str">
        <f>'체크리스트'!A39</f>
        <v>T35</v>
      </c>
      <c r="B39" s="36" t="str">
        <f>'체크리스트'!D39</f>
        <v>관리자 화면(8탭) 구현</v>
      </c>
      <c r="C39" s="35" t="str">
        <f>'체크리스트'!C39</f>
        <v>프론트</v>
      </c>
      <c r="D39" s="35" t="str">
        <f>'체크리스트'!F39</f>
        <v>대기</v>
      </c>
      <c r="E39" s="37" t="str">
        <f>IF(TEXT(E$4,"m/d")='체크리스트'!B39,1,"")</f>
        <v/>
      </c>
      <c r="F39" s="37" t="str">
        <f>IF(TEXT(F$4,"m/d")='체크리스트'!B39,1,"")</f>
        <v/>
      </c>
      <c r="G39" s="37" t="str">
        <f>IF(TEXT(G$4,"m/d")='체크리스트'!B39,1,"")</f>
        <v/>
      </c>
      <c r="H39" s="37" t="str">
        <f>IF(TEXT(H$4,"m/d")='체크리스트'!B39,1,"")</f>
        <v/>
      </c>
      <c r="I39" s="37" t="str">
        <f>IF(TEXT(I$4,"m/d")='체크리스트'!B39,1,"")</f>
        <v/>
      </c>
      <c r="J39" s="37" t="str">
        <f>IF(TEXT(J$4,"m/d")='체크리스트'!B39,1,"")</f>
        <v/>
      </c>
      <c r="K39" s="37" t="str">
        <f>IF(TEXT(K$4,"m/d")='체크리스트'!B39,1,"")</f>
        <v/>
      </c>
      <c r="L39" s="37">
        <f>IF(TEXT(L$4,"m/d")='체크리스트'!B39,1,"")</f>
        <v>1</v>
      </c>
      <c r="M39" s="37" t="str">
        <f>IF(TEXT(M$4,"m/d")='체크리스트'!B39,1,"")</f>
        <v/>
      </c>
      <c r="N39" s="37" t="str">
        <f>IF(TEXT(N$4,"m/d")='체크리스트'!B39,1,"")</f>
        <v/>
      </c>
    </row>
    <row r="40" ht="40.5" customHeight="1">
      <c r="A40" s="35" t="str">
        <f>'체크리스트'!A40</f>
        <v>T36</v>
      </c>
      <c r="B40" s="36" t="str">
        <f>'체크리스트'!D40</f>
        <v>RBAC 권한 처리(FR-050)</v>
      </c>
      <c r="C40" s="35" t="str">
        <f>'체크리스트'!C40</f>
        <v>백엔드</v>
      </c>
      <c r="D40" s="35" t="str">
        <f>'체크리스트'!F40</f>
        <v>대기</v>
      </c>
      <c r="E40" s="37" t="str">
        <f>IF(TEXT(E$4,"m/d")='체크리스트'!B40,1,"")</f>
        <v/>
      </c>
      <c r="F40" s="37" t="str">
        <f>IF(TEXT(F$4,"m/d")='체크리스트'!B40,1,"")</f>
        <v/>
      </c>
      <c r="G40" s="37" t="str">
        <f>IF(TEXT(G$4,"m/d")='체크리스트'!B40,1,"")</f>
        <v/>
      </c>
      <c r="H40" s="37" t="str">
        <f>IF(TEXT(H$4,"m/d")='체크리스트'!B40,1,"")</f>
        <v/>
      </c>
      <c r="I40" s="37" t="str">
        <f>IF(TEXT(I$4,"m/d")='체크리스트'!B40,1,"")</f>
        <v/>
      </c>
      <c r="J40" s="37" t="str">
        <f>IF(TEXT(J$4,"m/d")='체크리스트'!B40,1,"")</f>
        <v/>
      </c>
      <c r="K40" s="37" t="str">
        <f>IF(TEXT(K$4,"m/d")='체크리스트'!B40,1,"")</f>
        <v/>
      </c>
      <c r="L40" s="37">
        <f>IF(TEXT(L$4,"m/d")='체크리스트'!B40,1,"")</f>
        <v>1</v>
      </c>
      <c r="M40" s="37" t="str">
        <f>IF(TEXT(M$4,"m/d")='체크리스트'!B40,1,"")</f>
        <v/>
      </c>
      <c r="N40" s="37" t="str">
        <f>IF(TEXT(N$4,"m/d")='체크리스트'!B40,1,"")</f>
        <v/>
      </c>
    </row>
    <row r="41" ht="40.5" customHeight="1">
      <c r="A41" s="35" t="str">
        <f>'체크리스트'!A41</f>
        <v>T37</v>
      </c>
      <c r="B41" s="36" t="str">
        <f>'체크리스트'!D41</f>
        <v>관리자 대시보드/DB현황 지표 정의</v>
      </c>
      <c r="C41" s="35" t="str">
        <f>'체크리스트'!C41</f>
        <v>PM</v>
      </c>
      <c r="D41" s="35" t="str">
        <f>'체크리스트'!F41</f>
        <v>대기</v>
      </c>
      <c r="E41" s="37" t="str">
        <f>IF(TEXT(E$4,"m/d")='체크리스트'!B41,1,"")</f>
        <v/>
      </c>
      <c r="F41" s="37" t="str">
        <f>IF(TEXT(F$4,"m/d")='체크리스트'!B41,1,"")</f>
        <v/>
      </c>
      <c r="G41" s="37" t="str">
        <f>IF(TEXT(G$4,"m/d")='체크리스트'!B41,1,"")</f>
        <v/>
      </c>
      <c r="H41" s="37" t="str">
        <f>IF(TEXT(H$4,"m/d")='체크리스트'!B41,1,"")</f>
        <v/>
      </c>
      <c r="I41" s="37" t="str">
        <f>IF(TEXT(I$4,"m/d")='체크리스트'!B41,1,"")</f>
        <v/>
      </c>
      <c r="J41" s="37" t="str">
        <f>IF(TEXT(J$4,"m/d")='체크리스트'!B41,1,"")</f>
        <v/>
      </c>
      <c r="K41" s="37" t="str">
        <f>IF(TEXT(K$4,"m/d")='체크리스트'!B41,1,"")</f>
        <v/>
      </c>
      <c r="L41" s="37" t="str">
        <f>IF(TEXT(L$4,"m/d")='체크리스트'!B41,1,"")</f>
        <v/>
      </c>
      <c r="M41" s="37">
        <f>IF(TEXT(M$4,"m/d")='체크리스트'!B41,1,"")</f>
        <v>1</v>
      </c>
      <c r="N41" s="37" t="str">
        <f>IF(TEXT(N$4,"m/d")='체크리스트'!B41,1,"")</f>
        <v/>
      </c>
    </row>
    <row r="42" ht="40.5" customHeight="1">
      <c r="A42" s="35" t="str">
        <f>'체크리스트'!A42</f>
        <v>T38</v>
      </c>
      <c r="B42" s="36" t="str">
        <f>'체크리스트'!D42</f>
        <v>관리자 대시보드 API(FR-054~055)</v>
      </c>
      <c r="C42" s="35" t="str">
        <f>'체크리스트'!C42</f>
        <v>백엔드</v>
      </c>
      <c r="D42" s="35" t="str">
        <f>'체크리스트'!F42</f>
        <v>대기</v>
      </c>
      <c r="E42" s="37" t="str">
        <f>IF(TEXT(E$4,"m/d")='체크리스트'!B42,1,"")</f>
        <v/>
      </c>
      <c r="F42" s="37" t="str">
        <f>IF(TEXT(F$4,"m/d")='체크리스트'!B42,1,"")</f>
        <v/>
      </c>
      <c r="G42" s="37" t="str">
        <f>IF(TEXT(G$4,"m/d")='체크리스트'!B42,1,"")</f>
        <v/>
      </c>
      <c r="H42" s="37" t="str">
        <f>IF(TEXT(H$4,"m/d")='체크리스트'!B42,1,"")</f>
        <v/>
      </c>
      <c r="I42" s="37" t="str">
        <f>IF(TEXT(I$4,"m/d")='체크리스트'!B42,1,"")</f>
        <v/>
      </c>
      <c r="J42" s="37" t="str">
        <f>IF(TEXT(J$4,"m/d")='체크리스트'!B42,1,"")</f>
        <v/>
      </c>
      <c r="K42" s="37" t="str">
        <f>IF(TEXT(K$4,"m/d")='체크리스트'!B42,1,"")</f>
        <v/>
      </c>
      <c r="L42" s="37" t="str">
        <f>IF(TEXT(L$4,"m/d")='체크리스트'!B42,1,"")</f>
        <v/>
      </c>
      <c r="M42" s="37">
        <f>IF(TEXT(M$4,"m/d")='체크리스트'!B42,1,"")</f>
        <v>1</v>
      </c>
      <c r="N42" s="37" t="str">
        <f>IF(TEXT(N$4,"m/d")='체크리스트'!B42,1,"")</f>
        <v/>
      </c>
    </row>
    <row r="43" ht="40.5" customHeight="1">
      <c r="A43" s="35" t="str">
        <f>'체크리스트'!A43</f>
        <v>T39</v>
      </c>
      <c r="B43" s="36" t="str">
        <f>'체크리스트'!D43</f>
        <v>관리자 대시보드 화면 구현</v>
      </c>
      <c r="C43" s="35" t="str">
        <f>'체크리스트'!C43</f>
        <v>프론트</v>
      </c>
      <c r="D43" s="35" t="str">
        <f>'체크리스트'!F43</f>
        <v>대기</v>
      </c>
      <c r="E43" s="37" t="str">
        <f>IF(TEXT(E$4,"m/d")='체크리스트'!B43,1,"")</f>
        <v/>
      </c>
      <c r="F43" s="37" t="str">
        <f>IF(TEXT(F$4,"m/d")='체크리스트'!B43,1,"")</f>
        <v/>
      </c>
      <c r="G43" s="37" t="str">
        <f>IF(TEXT(G$4,"m/d")='체크리스트'!B43,1,"")</f>
        <v/>
      </c>
      <c r="H43" s="37" t="str">
        <f>IF(TEXT(H$4,"m/d")='체크리스트'!B43,1,"")</f>
        <v/>
      </c>
      <c r="I43" s="37" t="str">
        <f>IF(TEXT(I$4,"m/d")='체크리스트'!B43,1,"")</f>
        <v/>
      </c>
      <c r="J43" s="37" t="str">
        <f>IF(TEXT(J$4,"m/d")='체크리스트'!B43,1,"")</f>
        <v/>
      </c>
      <c r="K43" s="37" t="str">
        <f>IF(TEXT(K$4,"m/d")='체크리스트'!B43,1,"")</f>
        <v/>
      </c>
      <c r="L43" s="37" t="str">
        <f>IF(TEXT(L$4,"m/d")='체크리스트'!B43,1,"")</f>
        <v/>
      </c>
      <c r="M43" s="37">
        <f>IF(TEXT(M$4,"m/d")='체크리스트'!B43,1,"")</f>
        <v>1</v>
      </c>
      <c r="N43" s="37" t="str">
        <f>IF(TEXT(N$4,"m/d")='체크리스트'!B43,1,"")</f>
        <v/>
      </c>
    </row>
    <row r="44" ht="40.5" customHeight="1">
      <c r="A44" s="35" t="str">
        <f>'체크리스트'!A44</f>
        <v>T40</v>
      </c>
      <c r="B44" s="36" t="str">
        <f>'체크리스트'!D44</f>
        <v>전체 기능 통합 테스트(Must 16개 항목 전수 점검)</v>
      </c>
      <c r="C44" s="35" t="str">
        <f>'체크리스트'!C44</f>
        <v>전원</v>
      </c>
      <c r="D44" s="35" t="str">
        <f>'체크리스트'!F44</f>
        <v>대기</v>
      </c>
      <c r="E44" s="37" t="str">
        <f>IF(TEXT(E$4,"m/d")='체크리스트'!B44,1,"")</f>
        <v/>
      </c>
      <c r="F44" s="37" t="str">
        <f>IF(TEXT(F$4,"m/d")='체크리스트'!B44,1,"")</f>
        <v/>
      </c>
      <c r="G44" s="37" t="str">
        <f>IF(TEXT(G$4,"m/d")='체크리스트'!B44,1,"")</f>
        <v/>
      </c>
      <c r="H44" s="37" t="str">
        <f>IF(TEXT(H$4,"m/d")='체크리스트'!B44,1,"")</f>
        <v/>
      </c>
      <c r="I44" s="37" t="str">
        <f>IF(TEXT(I$4,"m/d")='체크리스트'!B44,1,"")</f>
        <v/>
      </c>
      <c r="J44" s="37" t="str">
        <f>IF(TEXT(J$4,"m/d")='체크리스트'!B44,1,"")</f>
        <v/>
      </c>
      <c r="K44" s="37" t="str">
        <f>IF(TEXT(K$4,"m/d")='체크리스트'!B44,1,"")</f>
        <v/>
      </c>
      <c r="L44" s="37" t="str">
        <f>IF(TEXT(L$4,"m/d")='체크리스트'!B44,1,"")</f>
        <v/>
      </c>
      <c r="M44" s="37">
        <f>IF(TEXT(M$4,"m/d")='체크리스트'!B44,1,"")</f>
        <v>1</v>
      </c>
      <c r="N44" s="37" t="str">
        <f>IF(TEXT(N$4,"m/d")='체크리스트'!B44,1,"")</f>
        <v/>
      </c>
    </row>
    <row r="45" ht="40.5" customHeight="1">
      <c r="A45" s="35" t="str">
        <f>'체크리스트'!A45</f>
        <v>T41</v>
      </c>
      <c r="B45" s="36" t="str">
        <f>'체크리스트'!D45</f>
        <v>버그 수정·최종 점검</v>
      </c>
      <c r="C45" s="35" t="str">
        <f>'체크리스트'!C45</f>
        <v>전원</v>
      </c>
      <c r="D45" s="35" t="str">
        <f>'체크리스트'!F45</f>
        <v>대기</v>
      </c>
      <c r="E45" s="37" t="str">
        <f>IF(TEXT(E$4,"m/d")='체크리스트'!B45,1,"")</f>
        <v/>
      </c>
      <c r="F45" s="37" t="str">
        <f>IF(TEXT(F$4,"m/d")='체크리스트'!B45,1,"")</f>
        <v/>
      </c>
      <c r="G45" s="37" t="str">
        <f>IF(TEXT(G$4,"m/d")='체크리스트'!B45,1,"")</f>
        <v/>
      </c>
      <c r="H45" s="37" t="str">
        <f>IF(TEXT(H$4,"m/d")='체크리스트'!B45,1,"")</f>
        <v/>
      </c>
      <c r="I45" s="37" t="str">
        <f>IF(TEXT(I$4,"m/d")='체크리스트'!B45,1,"")</f>
        <v/>
      </c>
      <c r="J45" s="37" t="str">
        <f>IF(TEXT(J$4,"m/d")='체크리스트'!B45,1,"")</f>
        <v/>
      </c>
      <c r="K45" s="37" t="str">
        <f>IF(TEXT(K$4,"m/d")='체크리스트'!B45,1,"")</f>
        <v/>
      </c>
      <c r="L45" s="37" t="str">
        <f>IF(TEXT(L$4,"m/d")='체크리스트'!B45,1,"")</f>
        <v/>
      </c>
      <c r="M45" s="37" t="str">
        <f>IF(TEXT(M$4,"m/d")='체크리스트'!B45,1,"")</f>
        <v/>
      </c>
      <c r="N45" s="37">
        <f>IF(TEXT(N$4,"m/d")='체크리스트'!B45,1,"")</f>
        <v>1</v>
      </c>
    </row>
    <row r="46" ht="40.5" customHeight="1">
      <c r="A46" s="35" t="str">
        <f>'체크리스트'!A46</f>
        <v>T42</v>
      </c>
      <c r="B46" s="36" t="str">
        <f>'체크리스트'!D46</f>
        <v>발표자료(PPT) 준비</v>
      </c>
      <c r="C46" s="35" t="str">
        <f>'체크리스트'!C46</f>
        <v>PM</v>
      </c>
      <c r="D46" s="35" t="str">
        <f>'체크리스트'!F46</f>
        <v>대기</v>
      </c>
      <c r="E46" s="37" t="str">
        <f>IF(TEXT(E$4,"m/d")='체크리스트'!B46,1,"")</f>
        <v/>
      </c>
      <c r="F46" s="37" t="str">
        <f>IF(TEXT(F$4,"m/d")='체크리스트'!B46,1,"")</f>
        <v/>
      </c>
      <c r="G46" s="37" t="str">
        <f>IF(TEXT(G$4,"m/d")='체크리스트'!B46,1,"")</f>
        <v/>
      </c>
      <c r="H46" s="37" t="str">
        <f>IF(TEXT(H$4,"m/d")='체크리스트'!B46,1,"")</f>
        <v/>
      </c>
      <c r="I46" s="37" t="str">
        <f>IF(TEXT(I$4,"m/d")='체크리스트'!B46,1,"")</f>
        <v/>
      </c>
      <c r="J46" s="37" t="str">
        <f>IF(TEXT(J$4,"m/d")='체크리스트'!B46,1,"")</f>
        <v/>
      </c>
      <c r="K46" s="37" t="str">
        <f>IF(TEXT(K$4,"m/d")='체크리스트'!B46,1,"")</f>
        <v/>
      </c>
      <c r="L46" s="37" t="str">
        <f>IF(TEXT(L$4,"m/d")='체크리스트'!B46,1,"")</f>
        <v/>
      </c>
      <c r="M46" s="37" t="str">
        <f>IF(TEXT(M$4,"m/d")='체크리스트'!B46,1,"")</f>
        <v/>
      </c>
      <c r="N46" s="37">
        <f>IF(TEXT(N$4,"m/d")='체크리스트'!B46,1,"")</f>
        <v>1</v>
      </c>
    </row>
    <row r="47" ht="40.5" customHeight="1">
      <c r="A47" s="35" t="str">
        <f>'체크리스트'!A47</f>
        <v>T43</v>
      </c>
      <c r="B47" s="36" t="str">
        <f>'체크리스트'!D47</f>
        <v>데모 리허설</v>
      </c>
      <c r="C47" s="35" t="str">
        <f>'체크리스트'!C47</f>
        <v>전원</v>
      </c>
      <c r="D47" s="35" t="str">
        <f>'체크리스트'!F47</f>
        <v>대기</v>
      </c>
      <c r="E47" s="37" t="str">
        <f>IF(TEXT(E$4,"m/d")='체크리스트'!B47,1,"")</f>
        <v/>
      </c>
      <c r="F47" s="37" t="str">
        <f>IF(TEXT(F$4,"m/d")='체크리스트'!B47,1,"")</f>
        <v/>
      </c>
      <c r="G47" s="37" t="str">
        <f>IF(TEXT(G$4,"m/d")='체크리스트'!B47,1,"")</f>
        <v/>
      </c>
      <c r="H47" s="37" t="str">
        <f>IF(TEXT(H$4,"m/d")='체크리스트'!B47,1,"")</f>
        <v/>
      </c>
      <c r="I47" s="37" t="str">
        <f>IF(TEXT(I$4,"m/d")='체크리스트'!B47,1,"")</f>
        <v/>
      </c>
      <c r="J47" s="37" t="str">
        <f>IF(TEXT(J$4,"m/d")='체크리스트'!B47,1,"")</f>
        <v/>
      </c>
      <c r="K47" s="37" t="str">
        <f>IF(TEXT(K$4,"m/d")='체크리스트'!B47,1,"")</f>
        <v/>
      </c>
      <c r="L47" s="37" t="str">
        <f>IF(TEXT(L$4,"m/d")='체크리스트'!B47,1,"")</f>
        <v/>
      </c>
      <c r="M47" s="37" t="str">
        <f>IF(TEXT(M$4,"m/d")='체크리스트'!B47,1,"")</f>
        <v/>
      </c>
      <c r="N47" s="37">
        <f>IF(TEXT(N$4,"m/d")='체크리스트'!B47,1,"")</f>
        <v>1</v>
      </c>
    </row>
    <row r="48" ht="40.5" customHeight="1">
      <c r="A48" s="35" t="str">
        <f>'체크리스트'!A48</f>
        <v>T44</v>
      </c>
      <c r="B48" s="36" t="str">
        <f>'체크리스트'!D48</f>
        <v>최종 리허설 → 발표</v>
      </c>
      <c r="C48" s="35" t="str">
        <f>'체크리스트'!C48</f>
        <v>전원</v>
      </c>
      <c r="D48" s="35" t="str">
        <f>'체크리스트'!F48</f>
        <v>대기</v>
      </c>
      <c r="E48" s="37" t="str">
        <f>IF(TEXT(E$4,"m/d")='체크리스트'!B48,1,"")</f>
        <v/>
      </c>
      <c r="F48" s="37" t="str">
        <f>IF(TEXT(F$4,"m/d")='체크리스트'!B48,1,"")</f>
        <v/>
      </c>
      <c r="G48" s="37" t="str">
        <f>IF(TEXT(G$4,"m/d")='체크리스트'!B48,1,"")</f>
        <v/>
      </c>
      <c r="H48" s="37" t="str">
        <f>IF(TEXT(H$4,"m/d")='체크리스트'!B48,1,"")</f>
        <v/>
      </c>
      <c r="I48" s="37" t="str">
        <f>IF(TEXT(I$4,"m/d")='체크리스트'!B48,1,"")</f>
        <v/>
      </c>
      <c r="J48" s="37" t="str">
        <f>IF(TEXT(J$4,"m/d")='체크리스트'!B48,1,"")</f>
        <v/>
      </c>
      <c r="K48" s="37" t="str">
        <f>IF(TEXT(K$4,"m/d")='체크리스트'!B48,1,"")</f>
        <v/>
      </c>
      <c r="L48" s="37" t="str">
        <f>IF(TEXT(L$4,"m/d")='체크리스트'!B48,1,"")</f>
        <v/>
      </c>
      <c r="M48" s="37" t="str">
        <f>IF(TEXT(M$4,"m/d")='체크리스트'!B48,1,"")</f>
        <v/>
      </c>
      <c r="N48" s="37">
        <f>IF(TEXT(N$4,"m/d")='체크리스트'!B48,1,"")</f>
        <v>1</v>
      </c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mergeCells count="2">
    <mergeCell ref="A1:N1"/>
    <mergeCell ref="A2:N2"/>
  </mergeCells>
  <conditionalFormatting sqref="E5:E48">
    <cfRule type="expression" dxfId="10" priority="1">
      <formula>AND(E5=1,$D5="완료")</formula>
    </cfRule>
  </conditionalFormatting>
  <conditionalFormatting sqref="E5:E48">
    <cfRule type="expression" dxfId="11" priority="2">
      <formula>AND(E5=1,$D5="진행")</formula>
    </cfRule>
  </conditionalFormatting>
  <conditionalFormatting sqref="E5:E48">
    <cfRule type="expression" dxfId="12" priority="3">
      <formula>AND(E5=1,$D5="대기")</formula>
    </cfRule>
  </conditionalFormatting>
  <conditionalFormatting sqref="E5:E48">
    <cfRule type="expression" dxfId="13" priority="4">
      <formula>AND(E$4=TODAY(),E5&lt;&gt;1)</formula>
    </cfRule>
  </conditionalFormatting>
  <conditionalFormatting sqref="E4">
    <cfRule type="expression" dxfId="14" priority="5">
      <formula>E4=TODAY()</formula>
    </cfRule>
  </conditionalFormatting>
  <conditionalFormatting sqref="F5:F48">
    <cfRule type="expression" dxfId="10" priority="6">
      <formula>AND(F5=1,$D5="완료")</formula>
    </cfRule>
  </conditionalFormatting>
  <conditionalFormatting sqref="F5:F48">
    <cfRule type="expression" dxfId="11" priority="7">
      <formula>AND(F5=1,$D5="진행")</formula>
    </cfRule>
  </conditionalFormatting>
  <conditionalFormatting sqref="F5:F48">
    <cfRule type="expression" dxfId="12" priority="8">
      <formula>AND(F5=1,$D5="대기")</formula>
    </cfRule>
  </conditionalFormatting>
  <conditionalFormatting sqref="F5:F48">
    <cfRule type="expression" dxfId="13" priority="9">
      <formula>AND(F$4=TODAY(),F5&lt;&gt;1)</formula>
    </cfRule>
  </conditionalFormatting>
  <conditionalFormatting sqref="F4">
    <cfRule type="expression" dxfId="14" priority="10">
      <formula>F4=TODAY()</formula>
    </cfRule>
  </conditionalFormatting>
  <conditionalFormatting sqref="G5:G48">
    <cfRule type="expression" dxfId="10" priority="11">
      <formula>AND(G5=1,$D5="완료")</formula>
    </cfRule>
  </conditionalFormatting>
  <conditionalFormatting sqref="G5:G48">
    <cfRule type="expression" dxfId="11" priority="12">
      <formula>AND(G5=1,$D5="진행")</formula>
    </cfRule>
  </conditionalFormatting>
  <conditionalFormatting sqref="G5:G48">
    <cfRule type="expression" dxfId="12" priority="13">
      <formula>AND(G5=1,$D5="대기")</formula>
    </cfRule>
  </conditionalFormatting>
  <conditionalFormatting sqref="G5:G48">
    <cfRule type="expression" dxfId="13" priority="14">
      <formula>AND(G$4=TODAY(),G5&lt;&gt;1)</formula>
    </cfRule>
  </conditionalFormatting>
  <conditionalFormatting sqref="G4">
    <cfRule type="expression" dxfId="14" priority="15">
      <formula>G4=TODAY()</formula>
    </cfRule>
  </conditionalFormatting>
  <conditionalFormatting sqref="H5:H48">
    <cfRule type="expression" dxfId="10" priority="16">
      <formula>AND(H5=1,$D5="완료")</formula>
    </cfRule>
  </conditionalFormatting>
  <conditionalFormatting sqref="H5:H48">
    <cfRule type="expression" dxfId="11" priority="17">
      <formula>AND(H5=1,$D5="진행")</formula>
    </cfRule>
  </conditionalFormatting>
  <conditionalFormatting sqref="H5:H48">
    <cfRule type="expression" dxfId="12" priority="18">
      <formula>AND(H5=1,$D5="대기")</formula>
    </cfRule>
  </conditionalFormatting>
  <conditionalFormatting sqref="H5:H48">
    <cfRule type="expression" dxfId="13" priority="19">
      <formula>AND(H$4=TODAY(),H5&lt;&gt;1)</formula>
    </cfRule>
  </conditionalFormatting>
  <conditionalFormatting sqref="H4">
    <cfRule type="expression" dxfId="14" priority="20">
      <formula>H4=TODAY()</formula>
    </cfRule>
  </conditionalFormatting>
  <conditionalFormatting sqref="I5:I48">
    <cfRule type="expression" dxfId="10" priority="21">
      <formula>AND(I5=1,$D5="완료")</formula>
    </cfRule>
  </conditionalFormatting>
  <conditionalFormatting sqref="I5:I48">
    <cfRule type="expression" dxfId="11" priority="22">
      <formula>AND(I5=1,$D5="진행")</formula>
    </cfRule>
  </conditionalFormatting>
  <conditionalFormatting sqref="I5:I48">
    <cfRule type="expression" dxfId="12" priority="23">
      <formula>AND(I5=1,$D5="대기")</formula>
    </cfRule>
  </conditionalFormatting>
  <conditionalFormatting sqref="I5:I48">
    <cfRule type="expression" dxfId="13" priority="24">
      <formula>AND(I$4=TODAY(),I5&lt;&gt;1)</formula>
    </cfRule>
  </conditionalFormatting>
  <conditionalFormatting sqref="I4">
    <cfRule type="expression" dxfId="14" priority="25">
      <formula>I4=TODAY()</formula>
    </cfRule>
  </conditionalFormatting>
  <conditionalFormatting sqref="J5:J48">
    <cfRule type="expression" dxfId="10" priority="26">
      <formula>AND(J5=1,$D5="완료")</formula>
    </cfRule>
  </conditionalFormatting>
  <conditionalFormatting sqref="J5:J48">
    <cfRule type="expression" dxfId="11" priority="27">
      <formula>AND(J5=1,$D5="진행")</formula>
    </cfRule>
  </conditionalFormatting>
  <conditionalFormatting sqref="J5:J48">
    <cfRule type="expression" dxfId="12" priority="28">
      <formula>AND(J5=1,$D5="대기")</formula>
    </cfRule>
  </conditionalFormatting>
  <conditionalFormatting sqref="J5:J48">
    <cfRule type="expression" dxfId="13" priority="29">
      <formula>AND(J$4=TODAY(),J5&lt;&gt;1)</formula>
    </cfRule>
  </conditionalFormatting>
  <conditionalFormatting sqref="J4">
    <cfRule type="expression" dxfId="14" priority="30">
      <formula>J4=TODAY()</formula>
    </cfRule>
  </conditionalFormatting>
  <conditionalFormatting sqref="K5:K48">
    <cfRule type="expression" dxfId="10" priority="31">
      <formula>AND(K5=1,$D5="완료")</formula>
    </cfRule>
  </conditionalFormatting>
  <conditionalFormatting sqref="K5:K48">
    <cfRule type="expression" dxfId="11" priority="32">
      <formula>AND(K5=1,$D5="진행")</formula>
    </cfRule>
  </conditionalFormatting>
  <conditionalFormatting sqref="K5:K48">
    <cfRule type="expression" dxfId="12" priority="33">
      <formula>AND(K5=1,$D5="대기")</formula>
    </cfRule>
  </conditionalFormatting>
  <conditionalFormatting sqref="K5:K48">
    <cfRule type="expression" dxfId="13" priority="34">
      <formula>AND(K$4=TODAY(),K5&lt;&gt;1)</formula>
    </cfRule>
  </conditionalFormatting>
  <conditionalFormatting sqref="K4">
    <cfRule type="expression" dxfId="14" priority="35">
      <formula>K4=TODAY()</formula>
    </cfRule>
  </conditionalFormatting>
  <conditionalFormatting sqref="L5:L48">
    <cfRule type="expression" dxfId="10" priority="36">
      <formula>AND(L5=1,$D5="완료")</formula>
    </cfRule>
  </conditionalFormatting>
  <conditionalFormatting sqref="L5:L48">
    <cfRule type="expression" dxfId="11" priority="37">
      <formula>AND(L5=1,$D5="진행")</formula>
    </cfRule>
  </conditionalFormatting>
  <conditionalFormatting sqref="L5:L48">
    <cfRule type="expression" dxfId="12" priority="38">
      <formula>AND(L5=1,$D5="대기")</formula>
    </cfRule>
  </conditionalFormatting>
  <conditionalFormatting sqref="L5:L48">
    <cfRule type="expression" dxfId="13" priority="39">
      <formula>AND(L$4=TODAY(),L5&lt;&gt;1)</formula>
    </cfRule>
  </conditionalFormatting>
  <conditionalFormatting sqref="L4">
    <cfRule type="expression" dxfId="14" priority="40">
      <formula>L4=TODAY()</formula>
    </cfRule>
  </conditionalFormatting>
  <conditionalFormatting sqref="M5:M48">
    <cfRule type="expression" dxfId="10" priority="41">
      <formula>AND(M5=1,$D5="완료")</formula>
    </cfRule>
  </conditionalFormatting>
  <conditionalFormatting sqref="M5:M48">
    <cfRule type="expression" dxfId="11" priority="42">
      <formula>AND(M5=1,$D5="진행")</formula>
    </cfRule>
  </conditionalFormatting>
  <conditionalFormatting sqref="M5:M48">
    <cfRule type="expression" dxfId="12" priority="43">
      <formula>AND(M5=1,$D5="대기")</formula>
    </cfRule>
  </conditionalFormatting>
  <conditionalFormatting sqref="M5:M48">
    <cfRule type="expression" dxfId="13" priority="44">
      <formula>AND(M$4=TODAY(),M5&lt;&gt;1)</formula>
    </cfRule>
  </conditionalFormatting>
  <conditionalFormatting sqref="M4">
    <cfRule type="expression" dxfId="14" priority="45">
      <formula>M4=TODAY()</formula>
    </cfRule>
  </conditionalFormatting>
  <conditionalFormatting sqref="N5:N48">
    <cfRule type="expression" dxfId="10" priority="46">
      <formula>AND(N5=1,$D5="완료")</formula>
    </cfRule>
  </conditionalFormatting>
  <conditionalFormatting sqref="N5:N48">
    <cfRule type="expression" dxfId="11" priority="47">
      <formula>AND(N5=1,$D5="진행")</formula>
    </cfRule>
  </conditionalFormatting>
  <conditionalFormatting sqref="N5:N48">
    <cfRule type="expression" dxfId="12" priority="48">
      <formula>AND(N5=1,$D5="대기")</formula>
    </cfRule>
  </conditionalFormatting>
  <conditionalFormatting sqref="N5:N48">
    <cfRule type="expression" dxfId="13" priority="49">
      <formula>AND(N$4=TODAY(),N5&lt;&gt;1)</formula>
    </cfRule>
  </conditionalFormatting>
  <conditionalFormatting sqref="N4">
    <cfRule type="expression" dxfId="14" priority="50">
      <formula>N4=TODAY()</formula>
    </cfRule>
  </conditionalFormatting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2026-07-09T05:04:34Z</dcterms:created>
  <dc:creator>openpyxl</dc:creator>
</cp:coreProperties>
</file>